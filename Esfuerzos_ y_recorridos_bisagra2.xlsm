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cripts\"/>
    </mc:Choice>
  </mc:AlternateContent>
  <xr:revisionPtr revIDLastSave="0" documentId="13_ncr:1_{0C5C578D-3DCD-436B-8907-3B7D100913D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oja1" sheetId="1" r:id="rId1"/>
    <sheet name="Hoja3" sheetId="3" r:id="rId2"/>
    <sheet name="Hoja2" sheetId="2" r:id="rId3"/>
  </sheets>
  <functionGroups builtInGroupCount="19">
    <functionGroup name="Commands"/>
  </functionGroups>
  <definedNames>
    <definedName name="_xlnm.Print_Area" localSheetId="0">Hoja1!$A$1:$Q$35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2" i="1" l="1"/>
  <c r="AJ22" i="1" s="1"/>
  <c r="AI23" i="1"/>
  <c r="AJ23" i="1" s="1"/>
  <c r="AI24" i="1"/>
  <c r="AJ24" i="1" s="1"/>
  <c r="AI25" i="1"/>
  <c r="AJ25" i="1" s="1"/>
  <c r="AI26" i="1"/>
  <c r="AJ26" i="1" s="1"/>
  <c r="AI27" i="1"/>
  <c r="AJ27" i="1" s="1"/>
  <c r="AI28" i="1"/>
  <c r="AJ28" i="1" s="1"/>
  <c r="AI29" i="1"/>
  <c r="AJ29" i="1" s="1"/>
  <c r="AI8" i="1"/>
  <c r="AJ8" i="1" s="1"/>
  <c r="AI9" i="1"/>
  <c r="AJ9" i="1" s="1"/>
  <c r="AI10" i="1"/>
  <c r="AI11" i="1"/>
  <c r="AK11" i="1" s="1"/>
  <c r="AI12" i="1"/>
  <c r="AK12" i="1" s="1"/>
  <c r="AI13" i="1"/>
  <c r="AJ13" i="1" s="1"/>
  <c r="AI14" i="1"/>
  <c r="AJ14" i="1" s="1"/>
  <c r="AI15" i="1"/>
  <c r="AJ15" i="1" s="1"/>
  <c r="AI16" i="1"/>
  <c r="AJ16" i="1" s="1"/>
  <c r="AI17" i="1"/>
  <c r="AJ17" i="1" s="1"/>
  <c r="AI18" i="1"/>
  <c r="AI19" i="1"/>
  <c r="AI20" i="1"/>
  <c r="AK20" i="1" s="1"/>
  <c r="AI21" i="1"/>
  <c r="AJ21" i="1" s="1"/>
  <c r="AI7" i="1"/>
  <c r="AK7" i="1" s="1"/>
  <c r="AJ10" i="1"/>
  <c r="AK10" i="1"/>
  <c r="AJ18" i="1"/>
  <c r="AK18" i="1"/>
  <c r="AJ19" i="1"/>
  <c r="AK19" i="1"/>
  <c r="D12" i="1"/>
  <c r="B12" i="1"/>
  <c r="D13" i="1"/>
  <c r="D4" i="1"/>
  <c r="O62" i="1"/>
  <c r="N62" i="1"/>
  <c r="N51" i="1"/>
  <c r="O51" i="1"/>
  <c r="O50" i="1"/>
  <c r="O54" i="1" s="1"/>
  <c r="N50" i="1"/>
  <c r="N54" i="1" s="1"/>
  <c r="O48" i="1"/>
  <c r="N48" i="1"/>
  <c r="J15" i="1"/>
  <c r="B18" i="1"/>
  <c r="D18" i="1"/>
  <c r="B20" i="1"/>
  <c r="D20" i="1"/>
  <c r="AJ12" i="1" l="1"/>
  <c r="AJ11" i="1"/>
  <c r="AK17" i="1"/>
  <c r="AK27" i="1"/>
  <c r="AK9" i="1"/>
  <c r="AK16" i="1"/>
  <c r="AJ20" i="1"/>
  <c r="AK28" i="1"/>
  <c r="AK24" i="1"/>
  <c r="AK8" i="1"/>
  <c r="AK29" i="1"/>
  <c r="AK26" i="1"/>
  <c r="AK23" i="1"/>
  <c r="AK25" i="1"/>
  <c r="AK22" i="1"/>
  <c r="AK15" i="1"/>
  <c r="AK14" i="1"/>
  <c r="AK21" i="1"/>
  <c r="AK13" i="1"/>
  <c r="AJ7" i="1"/>
</calcChain>
</file>

<file path=xl/sharedStrings.xml><?xml version="1.0" encoding="utf-8"?>
<sst xmlns="http://schemas.openxmlformats.org/spreadsheetml/2006/main" count="87" uniqueCount="80">
  <si>
    <t>Valores relativos a la geometría del pedal</t>
  </si>
  <si>
    <t>PASSWORD</t>
  </si>
  <si>
    <t>TUBSA</t>
  </si>
  <si>
    <t>B1[mm]</t>
  </si>
  <si>
    <t>OB2[mm]</t>
  </si>
  <si>
    <t>B2[mm]</t>
  </si>
  <si>
    <t>M1[mm]</t>
  </si>
  <si>
    <t>CG[mm]</t>
  </si>
  <si>
    <t>M2[mm]</t>
  </si>
  <si>
    <t>FC[mm]</t>
  </si>
  <si>
    <t>Recorrido[deg]</t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</si>
  <si>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B1 [deg]</t>
    </r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</si>
  <si>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OB2 [deg]</t>
    </r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</si>
  <si>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B2 [deg]</t>
    </r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</si>
  <si>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M1 [deg]</t>
    </r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</si>
  <si>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M2 [deg]</t>
    </r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</si>
  <si>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CG [deg]</t>
    </r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</si>
  <si>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FC [deg]</t>
    </r>
  </si>
  <si>
    <t>M3[mm]</t>
  </si>
  <si>
    <t>M4[mm]</t>
  </si>
  <si>
    <t>Coord_X_FC</t>
  </si>
  <si>
    <t>COORD_Y_FC</t>
  </si>
  <si>
    <t>Coord_X_CG</t>
  </si>
  <si>
    <t>COORD_Y_CG</t>
  </si>
  <si>
    <t>Coord_X_B1</t>
  </si>
  <si>
    <t>COORD_Y_B1</t>
  </si>
  <si>
    <t>Coord_X_B2</t>
  </si>
  <si>
    <t>COORD_Y_B2</t>
  </si>
  <si>
    <t>Coord_X_M2</t>
  </si>
  <si>
    <t>COORD_Y_M2</t>
  </si>
  <si>
    <t>Coord_X_CIR</t>
  </si>
  <si>
    <t>COORD_Y_CIR</t>
  </si>
  <si>
    <t>K</t>
  </si>
  <si>
    <t>C</t>
  </si>
  <si>
    <t>Muelle F=Kx+C</t>
  </si>
  <si>
    <t>Pistón neumático</t>
  </si>
  <si>
    <t>M5[mm]</t>
  </si>
  <si>
    <t>M6[mm]</t>
  </si>
  <si>
    <t>Lo[mm]</t>
  </si>
  <si>
    <t>Programa de cálculo de 
Cinemática y Dinámica de Bisagras</t>
  </si>
  <si>
    <t>Ángulo 
Recorrido (deg)</t>
  </si>
  <si>
    <t>Momento 
Peso (Nmm)</t>
  </si>
  <si>
    <t>Momento 
Muelle(Nmm)</t>
  </si>
  <si>
    <t>Fuerza 
Mano N</t>
  </si>
  <si>
    <t>Peso[N]</t>
  </si>
  <si>
    <t>Momento 
Pistón(Nmm)</t>
  </si>
  <si>
    <t>Coord_X_M6</t>
  </si>
  <si>
    <t>COORD_Y_M6</t>
  </si>
  <si>
    <t>Valores geométricos de control.</t>
  </si>
  <si>
    <t>Distancia CG CIR</t>
  </si>
  <si>
    <t>Distancia Piston CIR</t>
  </si>
  <si>
    <t>Distancia Muelle CIR</t>
  </si>
  <si>
    <t>Longitud Piston</t>
  </si>
  <si>
    <t>Longitud Muelle</t>
  </si>
  <si>
    <t>Distancia CIR FC</t>
  </si>
  <si>
    <t>F</t>
  </si>
  <si>
    <t>L</t>
  </si>
  <si>
    <t>POS</t>
  </si>
  <si>
    <t>Características del piston</t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</si>
  <si>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M3 [deg]</t>
    </r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</si>
  <si>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M4 [deg]</t>
    </r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</si>
  <si>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M6 [deg]</t>
    </r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</si>
  <si>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M5 [deg]</t>
    </r>
  </si>
  <si>
    <t>Característicasmuelle tracc.</t>
  </si>
  <si>
    <t>COORD_Y_M1</t>
  </si>
  <si>
    <t>Coord_X_M1</t>
  </si>
  <si>
    <t>Coord_X_M5</t>
  </si>
  <si>
    <t>COORD_Y_M5</t>
  </si>
  <si>
    <t>Dibujo bisagra</t>
  </si>
  <si>
    <t>X</t>
  </si>
  <si>
    <t>Y</t>
  </si>
  <si>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Puinto H [deg]</t>
    </r>
  </si>
  <si>
    <t>Punto H [mm]</t>
  </si>
  <si>
    <t>CoordX</t>
  </si>
  <si>
    <t>CoordY</t>
  </si>
  <si>
    <t>Palanca de freno</t>
  </si>
  <si>
    <t>Actuador A traccion</t>
  </si>
  <si>
    <t>Actuador a compresion</t>
  </si>
  <si>
    <t>Vector H</t>
  </si>
  <si>
    <t>OB2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</si>
</sst>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10" x14ac:knownFonts="1">
    <font>
      <sz val="10"/>
      <name val="Arial"/>
    </font>
    <font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b/>
      <u/>
      <sz val="16"/>
      <name val="Arial"/>
      <family val="2"/>
    </font>
    <font>
      <b/>
      <u/>
      <sz val="14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Fill="1"/>
    <xf numFmtId="0" fontId="6" fillId="0" borderId="0" xfId="0" applyFont="1"/>
    <xf numFmtId="0" fontId="7" fillId="0" borderId="0" xfId="0" applyFont="1" applyFill="1" applyAlignment="1"/>
    <xf numFmtId="0" fontId="0" fillId="0" borderId="0" xfId="0" applyFill="1" applyAlignment="1"/>
    <xf numFmtId="0" fontId="8" fillId="0" borderId="0" xfId="0" applyFont="1"/>
    <xf numFmtId="0" fontId="8" fillId="0" borderId="0" xfId="0" applyFont="1" applyAlignment="1">
      <alignment horizontal="right"/>
    </xf>
    <xf numFmtId="0" fontId="8" fillId="0" borderId="0" xfId="0" applyFont="1" applyFill="1" applyAlignment="1">
      <alignment horizontal="right"/>
    </xf>
    <xf numFmtId="0" fontId="2" fillId="0" borderId="0" xfId="0" applyFont="1" applyFill="1"/>
    <xf numFmtId="0" fontId="5" fillId="0" borderId="0" xfId="0" applyFont="1" applyFill="1" applyAlignment="1"/>
    <xf numFmtId="2" fontId="0" fillId="0" borderId="0" xfId="0" applyNumberFormat="1" applyFill="1" applyAlignment="1" applyProtection="1">
      <alignment horizontal="left"/>
      <protection locked="0"/>
    </xf>
    <xf numFmtId="2" fontId="0" fillId="0" borderId="0" xfId="1" applyNumberFormat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8" fillId="0" borderId="0" xfId="0" applyFont="1" applyProtection="1">
      <protection locked="0"/>
    </xf>
    <xf numFmtId="0" fontId="8" fillId="0" borderId="0" xfId="0" applyFont="1" applyFill="1" applyAlignment="1" applyProtection="1">
      <protection locked="0"/>
    </xf>
    <xf numFmtId="0" fontId="6" fillId="0" borderId="0" xfId="0" applyFont="1" applyBorder="1" applyAlignment="1">
      <alignment wrapText="1"/>
    </xf>
    <xf numFmtId="164" fontId="0" fillId="0" borderId="0" xfId="0" applyNumberFormat="1" applyBorder="1" applyProtection="1">
      <protection locked="0"/>
    </xf>
    <xf numFmtId="164" fontId="0" fillId="0" borderId="0" xfId="0" applyNumberFormat="1" applyFill="1" applyBorder="1" applyProtection="1">
      <protection locked="0"/>
    </xf>
    <xf numFmtId="0" fontId="8" fillId="0" borderId="1" xfId="0" applyFont="1" applyFill="1" applyBorder="1" applyAlignment="1" applyProtection="1">
      <protection locked="0"/>
    </xf>
    <xf numFmtId="0" fontId="8" fillId="0" borderId="2" xfId="0" applyFont="1" applyBorder="1" applyAlignment="1">
      <alignment horizontal="right"/>
    </xf>
    <xf numFmtId="0" fontId="4" fillId="0" borderId="0" xfId="0" applyFont="1" applyAlignment="1">
      <alignment vertical="center" wrapText="1"/>
    </xf>
    <xf numFmtId="0" fontId="0" fillId="0" borderId="3" xfId="0" applyFill="1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5" xfId="0" applyFill="1" applyBorder="1" applyAlignment="1">
      <alignment wrapText="1"/>
    </xf>
    <xf numFmtId="0" fontId="0" fillId="0" borderId="0" xfId="0" applyFill="1" applyBorder="1"/>
    <xf numFmtId="0" fontId="8" fillId="0" borderId="4" xfId="0" applyFont="1" applyFill="1" applyBorder="1" applyAlignment="1">
      <alignment wrapText="1"/>
    </xf>
    <xf numFmtId="0" fontId="8" fillId="0" borderId="5" xfId="0" applyFont="1" applyFill="1" applyBorder="1" applyAlignment="1">
      <alignment wrapText="1"/>
    </xf>
    <xf numFmtId="0" fontId="0" fillId="0" borderId="6" xfId="0" applyBorder="1"/>
    <xf numFmtId="0" fontId="0" fillId="0" borderId="7" xfId="0" applyBorder="1"/>
    <xf numFmtId="0" fontId="8" fillId="0" borderId="8" xfId="0" applyFont="1" applyFill="1" applyBorder="1" applyAlignment="1">
      <alignment horizontal="right"/>
    </xf>
    <xf numFmtId="0" fontId="8" fillId="0" borderId="7" xfId="0" applyFont="1" applyFill="1" applyBorder="1" applyAlignment="1" applyProtection="1">
      <protection locked="0"/>
    </xf>
    <xf numFmtId="0" fontId="0" fillId="0" borderId="7" xfId="0" applyBorder="1" applyAlignment="1">
      <alignment horizontal="right"/>
    </xf>
    <xf numFmtId="0" fontId="8" fillId="0" borderId="9" xfId="0" applyFont="1" applyFill="1" applyBorder="1" applyAlignment="1">
      <alignment horizontal="right"/>
    </xf>
    <xf numFmtId="0" fontId="8" fillId="0" borderId="10" xfId="0" applyFont="1" applyFill="1" applyBorder="1" applyAlignment="1" applyProtection="1">
      <protection locked="0"/>
    </xf>
    <xf numFmtId="0" fontId="0" fillId="0" borderId="10" xfId="0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8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16" xfId="0" applyNumberFormat="1" applyFill="1" applyBorder="1"/>
    <xf numFmtId="164" fontId="0" fillId="0" borderId="17" xfId="0" applyNumberFormat="1" applyFill="1" applyBorder="1"/>
    <xf numFmtId="164" fontId="0" fillId="0" borderId="17" xfId="0" applyNumberFormat="1" applyBorder="1"/>
    <xf numFmtId="164" fontId="0" fillId="0" borderId="18" xfId="0" applyNumberFormat="1" applyBorder="1"/>
    <xf numFmtId="164" fontId="0" fillId="0" borderId="8" xfId="0" applyNumberFormat="1" applyFill="1" applyBorder="1"/>
    <xf numFmtId="164" fontId="0" fillId="0" borderId="7" xfId="0" applyNumberFormat="1" applyFill="1" applyBorder="1"/>
    <xf numFmtId="164" fontId="0" fillId="0" borderId="7" xfId="0" applyNumberFormat="1" applyBorder="1"/>
    <xf numFmtId="164" fontId="0" fillId="0" borderId="6" xfId="0" applyNumberForma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8" fillId="0" borderId="22" xfId="0" applyFont="1" applyFill="1" applyBorder="1" applyAlignment="1" applyProtection="1">
      <protection locked="0"/>
    </xf>
    <xf numFmtId="0" fontId="8" fillId="0" borderId="23" xfId="0" applyFont="1" applyBorder="1" applyAlignment="1">
      <alignment horizontal="right"/>
    </xf>
    <xf numFmtId="0" fontId="0" fillId="0" borderId="24" xfId="0" applyBorder="1"/>
    <xf numFmtId="0" fontId="0" fillId="0" borderId="25" xfId="0" applyBorder="1"/>
    <xf numFmtId="0" fontId="8" fillId="0" borderId="20" xfId="0" applyFont="1" applyFill="1" applyBorder="1" applyAlignment="1" applyProtection="1">
      <protection locked="0"/>
    </xf>
    <xf numFmtId="0" fontId="8" fillId="0" borderId="21" xfId="0" applyFont="1" applyBorder="1" applyAlignment="1">
      <alignment horizontal="right"/>
    </xf>
    <xf numFmtId="164" fontId="8" fillId="0" borderId="22" xfId="0" applyNumberFormat="1" applyFont="1" applyBorder="1" applyAlignment="1"/>
    <xf numFmtId="164" fontId="8" fillId="0" borderId="23" xfId="0" applyNumberFormat="1" applyFont="1" applyBorder="1"/>
    <xf numFmtId="164" fontId="8" fillId="0" borderId="22" xfId="0" applyNumberFormat="1" applyFont="1" applyBorder="1"/>
    <xf numFmtId="164" fontId="0" fillId="0" borderId="23" xfId="0" applyNumberFormat="1" applyBorder="1"/>
    <xf numFmtId="164" fontId="0" fillId="0" borderId="22" xfId="0" applyNumberFormat="1" applyBorder="1"/>
    <xf numFmtId="164" fontId="8" fillId="0" borderId="22" xfId="0" applyNumberFormat="1" applyFont="1" applyBorder="1" applyProtection="1">
      <protection locked="0"/>
    </xf>
    <xf numFmtId="164" fontId="0" fillId="0" borderId="22" xfId="0" applyNumberFormat="1" applyBorder="1" applyAlignment="1">
      <alignment horizontal="right"/>
    </xf>
    <xf numFmtId="164" fontId="0" fillId="0" borderId="26" xfId="0" applyNumberFormat="1" applyBorder="1"/>
    <xf numFmtId="164" fontId="0" fillId="0" borderId="27" xfId="0" applyNumberFormat="1" applyBorder="1"/>
    <xf numFmtId="164" fontId="0" fillId="0" borderId="18" xfId="0" applyNumberFormat="1" applyFill="1" applyBorder="1"/>
    <xf numFmtId="164" fontId="0" fillId="0" borderId="6" xfId="0" applyNumberFormat="1" applyFill="1" applyBorder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8" fillId="0" borderId="31" xfId="0" applyFont="1" applyFill="1" applyBorder="1" applyAlignment="1">
      <alignment horizontal="center"/>
    </xf>
    <xf numFmtId="0" fontId="8" fillId="0" borderId="32" xfId="0" applyFont="1" applyFill="1" applyBorder="1" applyAlignment="1">
      <alignment horizontal="center"/>
    </xf>
    <xf numFmtId="0" fontId="8" fillId="0" borderId="33" xfId="0" applyFont="1" applyFill="1" applyBorder="1" applyAlignment="1">
      <alignment horizontal="center"/>
    </xf>
    <xf numFmtId="0" fontId="0" fillId="0" borderId="0" xfId="0" applyFill="1"/>
    <xf numFmtId="0" fontId="5" fillId="0" borderId="0" xfId="0" applyFont="1" applyAlignment="1">
      <alignment horizontal="center"/>
    </xf>
    <xf numFmtId="0" fontId="0" fillId="0" borderId="2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20" xfId="0" applyFont="1" applyBorder="1" applyAlignment="1">
      <alignment horizontal="center"/>
    </xf>
    <xf numFmtId="0" fontId="9" fillId="0" borderId="30" xfId="0" applyFont="1" applyFill="1" applyBorder="1" applyAlignment="1">
      <alignment horizontal="center"/>
    </xf>
  </cellXfs>
  <cellStyles count="2">
    <cellStyle name="Euro" xfId="1" xr:uid="{00000000-0005-0000-0000-000000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M Peso</c:v>
          </c:tx>
          <c:marker>
            <c:symbol val="none"/>
          </c:marker>
          <c:xVal>
            <c:numRef>
              <c:f>Hoja1!$N$17:$N$26</c:f>
              <c:numCache>
                <c:formatCode>0.000</c:formatCode>
                <c:ptCount val="10"/>
                <c:pt idx="0">
                  <c:v>5.0888874903416268E-14</c:v>
                </c:pt>
                <c:pt idx="1">
                  <c:v>1.3948611854295945</c:v>
                </c:pt>
                <c:pt idx="2">
                  <c:v>2.876814915728787</c:v>
                </c:pt>
                <c:pt idx="3">
                  <c:v>4.4425602146087151</c:v>
                </c:pt>
                <c:pt idx="4">
                  <c:v>6.0895369245275539</c:v>
                </c:pt>
                <c:pt idx="5">
                  <c:v>7.8157853188100574</c:v>
                </c:pt>
                <c:pt idx="6">
                  <c:v>9.6198356307579065</c:v>
                </c:pt>
                <c:pt idx="7">
                  <c:v>11.500620511453326</c:v>
                </c:pt>
                <c:pt idx="8">
                  <c:v>13.457405406953647</c:v>
                </c:pt>
                <c:pt idx="9">
                  <c:v>15.489733239702304</c:v>
                </c:pt>
              </c:numCache>
            </c:numRef>
          </c:xVal>
          <c:yVal>
            <c:numRef>
              <c:f>Hoja1!$O$17:$O$26</c:f>
              <c:numCache>
                <c:formatCode>0.000</c:formatCode>
                <c:ptCount val="10"/>
                <c:pt idx="0">
                  <c:v>9825.2556954961965</c:v>
                </c:pt>
                <c:pt idx="1">
                  <c:v>8161.5800290205971</c:v>
                </c:pt>
                <c:pt idx="2">
                  <c:v>6621.853923905458</c:v>
                </c:pt>
                <c:pt idx="3">
                  <c:v>5191.2191014057216</c:v>
                </c:pt>
                <c:pt idx="4">
                  <c:v>3858.1359247820842</c:v>
                </c:pt>
                <c:pt idx="5">
                  <c:v>2612.8826601147998</c:v>
                </c:pt>
                <c:pt idx="6">
                  <c:v>1446.7032839637252</c:v>
                </c:pt>
                <c:pt idx="7">
                  <c:v>351.3244460582884</c:v>
                </c:pt>
                <c:pt idx="8">
                  <c:v>681.30881718890862</c:v>
                </c:pt>
                <c:pt idx="9">
                  <c:v>1659.1638249930877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10-4F35-BB62-B3CADE560126}"/>
            </c:ext>
          </c:extLst>
        </c:ser>
        <c:ser>
          <c:idx val="1"/>
          <c:order val="1"/>
          <c:tx>
            <c:v>M Pistón</c:v>
          </c:tx>
          <c:marker>
            <c:symbol val="none"/>
          </c:marker>
          <c:xVal>
            <c:numRef>
              <c:f>Hoja1!$N$17:$N$26</c:f>
              <c:numCache>
                <c:formatCode>0.000</c:formatCode>
                <c:ptCount val="10"/>
                <c:pt idx="0">
                  <c:v>5.0888874903416268E-14</c:v>
                </c:pt>
                <c:pt idx="1">
                  <c:v>1.3948611854295945</c:v>
                </c:pt>
                <c:pt idx="2">
                  <c:v>2.876814915728787</c:v>
                </c:pt>
                <c:pt idx="3">
                  <c:v>4.4425602146087151</c:v>
                </c:pt>
                <c:pt idx="4">
                  <c:v>6.0895369245275539</c:v>
                </c:pt>
                <c:pt idx="5">
                  <c:v>7.8157853188100574</c:v>
                </c:pt>
                <c:pt idx="6">
                  <c:v>9.6198356307579065</c:v>
                </c:pt>
                <c:pt idx="7">
                  <c:v>11.500620511453326</c:v>
                </c:pt>
                <c:pt idx="8">
                  <c:v>13.457405406953647</c:v>
                </c:pt>
                <c:pt idx="9">
                  <c:v>15.489733239702304</c:v>
                </c:pt>
              </c:numCache>
            </c:numRef>
          </c:xVal>
          <c:yVal>
            <c:numRef>
              <c:f>Hoja1!$P$17:$P$26</c:f>
              <c:numCache>
                <c:formatCode>0.000</c:formatCode>
                <c:ptCount val="10"/>
                <c:pt idx="0">
                  <c:v>11105.863436463354</c:v>
                </c:pt>
                <c:pt idx="1">
                  <c:v>8433.9374201517421</c:v>
                </c:pt>
                <c:pt idx="2">
                  <c:v>6026.5680778218421</c:v>
                </c:pt>
                <c:pt idx="3">
                  <c:v>3942.570119965827</c:v>
                </c:pt>
                <c:pt idx="4">
                  <c:v>2204.2733491688668</c:v>
                </c:pt>
                <c:pt idx="5">
                  <c:v>814.58562485214998</c:v>
                </c:pt>
                <c:pt idx="6">
                  <c:v>-234.20160654677977</c:v>
                </c:pt>
                <c:pt idx="7">
                  <c:v>-955.73681195881807</c:v>
                </c:pt>
                <c:pt idx="8">
                  <c:v>-1367.0600746510161</c:v>
                </c:pt>
                <c:pt idx="9">
                  <c:v>-1487.1782363262839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10-4F35-BB62-B3CADE560126}"/>
            </c:ext>
          </c:extLst>
        </c:ser>
        <c:ser>
          <c:idx val="2"/>
          <c:order val="2"/>
          <c:tx>
            <c:v>M Muelle</c:v>
          </c:tx>
          <c:marker>
            <c:symbol val="none"/>
          </c:marker>
          <c:xVal>
            <c:numRef>
              <c:f>Hoja1!$N$17:$N$26</c:f>
              <c:numCache>
                <c:formatCode>0.000</c:formatCode>
                <c:ptCount val="10"/>
                <c:pt idx="0">
                  <c:v>5.0888874903416268E-14</c:v>
                </c:pt>
                <c:pt idx="1">
                  <c:v>1.3948611854295945</c:v>
                </c:pt>
                <c:pt idx="2">
                  <c:v>2.876814915728787</c:v>
                </c:pt>
                <c:pt idx="3">
                  <c:v>4.4425602146087151</c:v>
                </c:pt>
                <c:pt idx="4">
                  <c:v>6.0895369245275539</c:v>
                </c:pt>
                <c:pt idx="5">
                  <c:v>7.8157853188100574</c:v>
                </c:pt>
                <c:pt idx="6">
                  <c:v>9.6198356307579065</c:v>
                </c:pt>
                <c:pt idx="7">
                  <c:v>11.500620511453326</c:v>
                </c:pt>
                <c:pt idx="8">
                  <c:v>13.457405406953647</c:v>
                </c:pt>
                <c:pt idx="9">
                  <c:v>15.489733239702304</c:v>
                </c:pt>
              </c:numCache>
            </c:numRef>
          </c:xVal>
          <c:yVal>
            <c:numRef>
              <c:f>Hoja1!$Q$17:$Q$26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10-4F35-BB62-B3CADE560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697407"/>
        <c:axId val="1"/>
      </c:scatterChart>
      <c:valAx>
        <c:axId val="1926697407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92669740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4169100732191451"/>
          <c:y val="0.31909928397760479"/>
          <c:w val="0.23000749280296562"/>
          <c:h val="0.30485378421181775"/>
        </c:manualLayout>
      </c:layout>
      <c:overlay val="0"/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E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Hoja1!$N$17:$N$26</c:f>
              <c:numCache>
                <c:formatCode>0.000</c:formatCode>
                <c:ptCount val="10"/>
                <c:pt idx="0">
                  <c:v>5.0888874903416268E-14</c:v>
                </c:pt>
                <c:pt idx="1">
                  <c:v>1.3948611854295945</c:v>
                </c:pt>
                <c:pt idx="2">
                  <c:v>2.876814915728787</c:v>
                </c:pt>
                <c:pt idx="3">
                  <c:v>4.4425602146087151</c:v>
                </c:pt>
                <c:pt idx="4">
                  <c:v>6.0895369245275539</c:v>
                </c:pt>
                <c:pt idx="5">
                  <c:v>7.8157853188100574</c:v>
                </c:pt>
                <c:pt idx="6">
                  <c:v>9.6198356307579065</c:v>
                </c:pt>
                <c:pt idx="7">
                  <c:v>11.500620511453326</c:v>
                </c:pt>
                <c:pt idx="8">
                  <c:v>13.457405406953647</c:v>
                </c:pt>
                <c:pt idx="9">
                  <c:v>15.489733239702304</c:v>
                </c:pt>
              </c:numCache>
            </c:numRef>
          </c:xVal>
          <c:yVal>
            <c:numRef>
              <c:f>Hoja1!$R$17:$R$26</c:f>
              <c:numCache>
                <c:formatCode>0.000</c:formatCode>
                <c:ptCount val="10"/>
                <c:pt idx="0">
                  <c:v>76.348429401418954</c:v>
                </c:pt>
                <c:pt idx="1">
                  <c:v>63.67328308805827</c:v>
                </c:pt>
                <c:pt idx="2">
                  <c:v>50.839540865348667</c:v>
                </c:pt>
                <c:pt idx="3">
                  <c:v>38.335873961140557</c:v>
                </c:pt>
                <c:pt idx="4">
                  <c:v>26.498238609081397</c:v>
                </c:pt>
                <c:pt idx="5">
                  <c:v>15.565134945477322</c:v>
                </c:pt>
                <c:pt idx="6">
                  <c:v>5.7091209011185393</c:v>
                </c:pt>
                <c:pt idx="7">
                  <c:v>-2.9450982078766534</c:v>
                </c:pt>
                <c:pt idx="8">
                  <c:v>-3.4516814788980064</c:v>
                </c:pt>
                <c:pt idx="9">
                  <c:v>0.89268718279651316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24-46FF-8775-FCD207EF4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679103"/>
        <c:axId val="1"/>
      </c:scatterChart>
      <c:valAx>
        <c:axId val="1926679103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926679103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Hoja1!$I$14:$I$15</c:f>
              <c:numCache>
                <c:formatCode>General</c:formatCode>
                <c:ptCount val="2"/>
                <c:pt idx="0">
                  <c:v>160</c:v>
                </c:pt>
                <c:pt idx="1">
                  <c:v>300</c:v>
                </c:pt>
              </c:numCache>
            </c:numRef>
          </c:xVal>
          <c:yVal>
            <c:numRef>
              <c:f>Hoja1!$J$14:$J$15</c:f>
              <c:numCache>
                <c:formatCode>General</c:formatCode>
                <c:ptCount val="2"/>
                <c:pt idx="0">
                  <c:v>500</c:v>
                </c:pt>
                <c:pt idx="1">
                  <c:v>450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61-4C90-832F-4F9B7E39F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685759"/>
        <c:axId val="1"/>
      </c:scatterChart>
      <c:valAx>
        <c:axId val="1926685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926685759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Hoja1!$I$19:$I$20</c:f>
              <c:numCache>
                <c:formatCode>General</c:formatCode>
                <c:ptCount val="2"/>
                <c:pt idx="0">
                  <c:v>100</c:v>
                </c:pt>
                <c:pt idx="1">
                  <c:v>250</c:v>
                </c:pt>
              </c:numCache>
            </c:numRef>
          </c:xVal>
          <c:yVal>
            <c:numRef>
              <c:f>Hoja1!$J$19:$J$20</c:f>
              <c:numCache>
                <c:formatCode>General</c:formatCode>
                <c:ptCount val="2"/>
                <c:pt idx="0">
                  <c:v>-300</c:v>
                </c:pt>
                <c:pt idx="1">
                  <c:v>-150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B7-4C65-ACEB-B93ACCC98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679519"/>
        <c:axId val="1"/>
      </c:scatterChart>
      <c:valAx>
        <c:axId val="1926679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926679519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s-ES"/>
              <a:t>Diseño bisgra 4 puntos</a:t>
            </a:r>
          </a:p>
        </c:rich>
      </c:tx>
      <c:layout>
        <c:manualLayout>
          <c:xMode val="edge"/>
          <c:yMode val="edge"/>
          <c:x val="0.39114545089659897"/>
          <c:y val="3.44082248786259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802475279954941E-2"/>
          <c:y val="0.1488412274583765"/>
          <c:w val="0.75852865398159375"/>
          <c:h val="0.83196718267020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Hoja1!$N$43</c:f>
              <c:strCache>
                <c:ptCount val="1"/>
                <c:pt idx="0">
                  <c:v>Dibujo bisagra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Hoja1!$N$45:$N$48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25.000000000000007</c:v>
                </c:pt>
                <c:pt idx="2">
                  <c:v>-18.94309449469926</c:v>
                </c:pt>
                <c:pt idx="3" formatCode="General">
                  <c:v>-39.780875814730933</c:v>
                </c:pt>
              </c:numCache>
            </c:numRef>
          </c:xVal>
          <c:yVal>
            <c:numRef>
              <c:f>Hoja1!$O$45:$O$48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43.301270189221931</c:v>
                </c:pt>
                <c:pt idx="2">
                  <c:v>122.35806889217113</c:v>
                </c:pt>
                <c:pt idx="3" formatCode="General">
                  <c:v>4.181138530706149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E2-4973-9240-4C5F2E9C9FA0}"/>
            </c:ext>
          </c:extLst>
        </c:ser>
        <c:ser>
          <c:idx val="1"/>
          <c:order val="1"/>
          <c:tx>
            <c:strRef>
              <c:f>Hoja1!$N$49</c:f>
              <c:strCache>
                <c:ptCount val="1"/>
                <c:pt idx="0">
                  <c:v>Palanca de freno</c:v>
                </c:pt>
              </c:strCache>
            </c:strRef>
          </c:tx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Hoja1!$N$50:$N$54</c:f>
              <c:numCache>
                <c:formatCode>0.000</c:formatCode>
                <c:ptCount val="5"/>
                <c:pt idx="0">
                  <c:v>25.000000000000007</c:v>
                </c:pt>
                <c:pt idx="1">
                  <c:v>-18.94309449469926</c:v>
                </c:pt>
                <c:pt idx="2" formatCode="General">
                  <c:v>-107.45992166936472</c:v>
                </c:pt>
                <c:pt idx="3" formatCode="General">
                  <c:v>-107.45992166936472</c:v>
                </c:pt>
                <c:pt idx="4">
                  <c:v>25.000000000000007</c:v>
                </c:pt>
              </c:numCache>
            </c:numRef>
          </c:xVal>
          <c:yVal>
            <c:numRef>
              <c:f>Hoja1!$O$50:$O$54</c:f>
              <c:numCache>
                <c:formatCode>0.000</c:formatCode>
                <c:ptCount val="5"/>
                <c:pt idx="0">
                  <c:v>43.301270189221931</c:v>
                </c:pt>
                <c:pt idx="1">
                  <c:v>122.35806889217113</c:v>
                </c:pt>
                <c:pt idx="2" formatCode="General">
                  <c:v>168.67828916257716</c:v>
                </c:pt>
                <c:pt idx="3" formatCode="General">
                  <c:v>168.67828916257716</c:v>
                </c:pt>
                <c:pt idx="4">
                  <c:v>43.301270189221931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E2-4973-9240-4C5F2E9C9FA0}"/>
            </c:ext>
          </c:extLst>
        </c:ser>
        <c:ser>
          <c:idx val="2"/>
          <c:order val="2"/>
          <c:tx>
            <c:strRef>
              <c:f>Hoja1!$N$55</c:f>
              <c:strCache>
                <c:ptCount val="1"/>
                <c:pt idx="0">
                  <c:v>Actuador A traccion</c:v>
                </c:pt>
              </c:strCache>
            </c:strRef>
          </c:tx>
          <c:xVal>
            <c:numRef>
              <c:f>Hoja1!$N$56:$N$57</c:f>
              <c:numCache>
                <c:formatCode>General</c:formatCode>
                <c:ptCount val="2"/>
                <c:pt idx="0">
                  <c:v>64.944804833018367</c:v>
                </c:pt>
                <c:pt idx="1">
                  <c:v>-8.4101850691286639</c:v>
                </c:pt>
              </c:numCache>
            </c:numRef>
          </c:xVal>
          <c:yVal>
            <c:numRef>
              <c:f>Hoja1!$O$56:$O$57</c:f>
              <c:numCache>
                <c:formatCode>General</c:formatCode>
                <c:ptCount val="2"/>
                <c:pt idx="0">
                  <c:v>76.040596560003095</c:v>
                </c:pt>
                <c:pt idx="1">
                  <c:v>55.338720577678004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E2-4973-9240-4C5F2E9C9FA0}"/>
            </c:ext>
          </c:extLst>
        </c:ser>
        <c:ser>
          <c:idx val="3"/>
          <c:order val="3"/>
          <c:tx>
            <c:strRef>
              <c:f>Hoja1!$N$58</c:f>
              <c:strCache>
                <c:ptCount val="1"/>
                <c:pt idx="0">
                  <c:v>Actuador a compresion</c:v>
                </c:pt>
              </c:strCache>
            </c:strRef>
          </c:tx>
          <c:xVal>
            <c:numRef>
              <c:f>Hoja1!$N$59:$N$60</c:f>
              <c:numCache>
                <c:formatCode>General</c:formatCode>
                <c:ptCount val="2"/>
                <c:pt idx="0">
                  <c:v>-25.504533924806633</c:v>
                </c:pt>
                <c:pt idx="1">
                  <c:v>-30.090751157602401</c:v>
                </c:pt>
              </c:numCache>
            </c:numRef>
          </c:xVal>
          <c:yVal>
            <c:numRef>
              <c:f>Hoja1!$O$59:$O$60</c:f>
              <c:numCache>
                <c:formatCode>General</c:formatCode>
                <c:ptCount val="2"/>
                <c:pt idx="0">
                  <c:v>-43.737397154788184</c:v>
                </c:pt>
                <c:pt idx="1">
                  <c:v>39.931775502364651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E2-4973-9240-4C5F2E9C9FA0}"/>
            </c:ext>
          </c:extLst>
        </c:ser>
        <c:ser>
          <c:idx val="4"/>
          <c:order val="4"/>
          <c:tx>
            <c:strRef>
              <c:f>Hoja1!$N$61</c:f>
              <c:strCache>
                <c:ptCount val="1"/>
                <c:pt idx="0">
                  <c:v>Vector H</c:v>
                </c:pt>
              </c:strCache>
            </c:strRef>
          </c:tx>
          <c:xVal>
            <c:numRef>
              <c:f>Hoja1!$N$62:$N$63</c:f>
              <c:numCache>
                <c:formatCode>General</c:formatCode>
                <c:ptCount val="2"/>
                <c:pt idx="0">
                  <c:v>-107.45992166936472</c:v>
                </c:pt>
                <c:pt idx="1">
                  <c:v>-965.92582628906825</c:v>
                </c:pt>
              </c:numCache>
            </c:numRef>
          </c:xVal>
          <c:yVal>
            <c:numRef>
              <c:f>Hoja1!$O$62:$O$63</c:f>
              <c:numCache>
                <c:formatCode>General</c:formatCode>
                <c:ptCount val="2"/>
                <c:pt idx="0">
                  <c:v>168.67828916257716</c:v>
                </c:pt>
                <c:pt idx="1">
                  <c:v>258.81904510252105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E2-4973-9240-4C5F2E9C9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686175"/>
        <c:axId val="1"/>
      </c:scatterChart>
      <c:valAx>
        <c:axId val="1926686175"/>
        <c:scaling>
          <c:orientation val="minMax"/>
          <c:max val="500"/>
          <c:min val="-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92668617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441260744985676E-2"/>
          <c:y val="4.5845336347902978E-2"/>
          <c:w val="0.77367583240908488"/>
          <c:h val="0.87387138478011483"/>
        </c:manualLayout>
      </c:layout>
      <c:scatterChart>
        <c:scatterStyle val="lineMarker"/>
        <c:varyColors val="0"/>
        <c:ser>
          <c:idx val="0"/>
          <c:order val="0"/>
          <c:tx>
            <c:v>Pos FC</c:v>
          </c:tx>
          <c:marker>
            <c:symbol val="none"/>
          </c:marker>
          <c:xVal>
            <c:numRef>
              <c:f>Hoja1!$N$5:$N$14</c:f>
              <c:numCache>
                <c:formatCode>0.000</c:formatCode>
                <c:ptCount val="10"/>
                <c:pt idx="0">
                  <c:v>-107.4599216693648</c:v>
                </c:pt>
                <c:pt idx="1">
                  <c:v>-101.04836687072682</c:v>
                </c:pt>
                <c:pt idx="2">
                  <c:v>-94.534447363611079</c:v>
                </c:pt>
                <c:pt idx="3">
                  <c:v>-87.93255765927951</c:v>
                </c:pt>
                <c:pt idx="4">
                  <c:v>-81.254946999845885</c:v>
                </c:pt>
                <c:pt idx="5">
                  <c:v>-74.511920855877875</c:v>
                </c:pt>
                <c:pt idx="6">
                  <c:v>-67.712009679825698</c:v>
                </c:pt>
                <c:pt idx="7">
                  <c:v>-60.862120109711924</c:v>
                </c:pt>
                <c:pt idx="8">
                  <c:v>-53.96767924500088</c:v>
                </c:pt>
                <c:pt idx="9">
                  <c:v>-47.03277939745157</c:v>
                </c:pt>
              </c:numCache>
            </c:numRef>
          </c:xVal>
          <c:yVal>
            <c:numRef>
              <c:f>Hoja1!$O$5:$O$14</c:f>
              <c:numCache>
                <c:formatCode>0.000</c:formatCode>
                <c:ptCount val="10"/>
                <c:pt idx="0">
                  <c:v>168.67828916257713</c:v>
                </c:pt>
                <c:pt idx="1">
                  <c:v>169.77058402682624</c:v>
                </c:pt>
                <c:pt idx="2">
                  <c:v>170.72431469271203</c:v>
                </c:pt>
                <c:pt idx="3">
                  <c:v>171.52933788373178</c:v>
                </c:pt>
                <c:pt idx="4">
                  <c:v>172.17776662850008</c:v>
                </c:pt>
                <c:pt idx="5">
                  <c:v>172.66341887147721</c:v>
                </c:pt>
                <c:pt idx="6">
                  <c:v>172.98133842213053</c:v>
                </c:pt>
                <c:pt idx="7">
                  <c:v>173.12737229458833</c:v>
                </c:pt>
                <c:pt idx="8">
                  <c:v>173.09779330185657</c:v>
                </c:pt>
                <c:pt idx="9">
                  <c:v>172.88896016263055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11-4AB9-BFB8-2708020FAF9E}"/>
            </c:ext>
          </c:extLst>
        </c:ser>
        <c:ser>
          <c:idx val="1"/>
          <c:order val="1"/>
          <c:tx>
            <c:v>Pos CG</c:v>
          </c:tx>
          <c:marker>
            <c:symbol val="none"/>
          </c:marker>
          <c:xVal>
            <c:numRef>
              <c:f>Hoja1!$P$5:$P$14</c:f>
              <c:numCache>
                <c:formatCode>0.000</c:formatCode>
                <c:ptCount val="10"/>
                <c:pt idx="0">
                  <c:v>-107.4599216693648</c:v>
                </c:pt>
                <c:pt idx="1">
                  <c:v>-101.04836687072682</c:v>
                </c:pt>
                <c:pt idx="2">
                  <c:v>-94.534447363611079</c:v>
                </c:pt>
                <c:pt idx="3">
                  <c:v>-87.93255765927951</c:v>
                </c:pt>
                <c:pt idx="4">
                  <c:v>-81.254946999845885</c:v>
                </c:pt>
                <c:pt idx="5">
                  <c:v>-74.511920855877875</c:v>
                </c:pt>
                <c:pt idx="6">
                  <c:v>-67.712009679825698</c:v>
                </c:pt>
                <c:pt idx="7">
                  <c:v>-60.862120109711924</c:v>
                </c:pt>
                <c:pt idx="8">
                  <c:v>-53.96767924500088</c:v>
                </c:pt>
                <c:pt idx="9">
                  <c:v>-47.03277939745157</c:v>
                </c:pt>
              </c:numCache>
            </c:numRef>
          </c:xVal>
          <c:yVal>
            <c:numRef>
              <c:f>Hoja1!$Q$5:$Q$14</c:f>
              <c:numCache>
                <c:formatCode>0.000</c:formatCode>
                <c:ptCount val="10"/>
                <c:pt idx="0">
                  <c:v>168.67828916257713</c:v>
                </c:pt>
                <c:pt idx="1">
                  <c:v>169.77058402682624</c:v>
                </c:pt>
                <c:pt idx="2">
                  <c:v>170.72431469271203</c:v>
                </c:pt>
                <c:pt idx="3">
                  <c:v>171.52933788373178</c:v>
                </c:pt>
                <c:pt idx="4">
                  <c:v>172.17776662850008</c:v>
                </c:pt>
                <c:pt idx="5">
                  <c:v>172.66341887147721</c:v>
                </c:pt>
                <c:pt idx="6">
                  <c:v>172.98133842213053</c:v>
                </c:pt>
                <c:pt idx="7">
                  <c:v>173.12737229458833</c:v>
                </c:pt>
                <c:pt idx="8">
                  <c:v>173.09779330185657</c:v>
                </c:pt>
                <c:pt idx="9">
                  <c:v>172.88896016263055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11-4AB9-BFB8-2708020FAF9E}"/>
            </c:ext>
          </c:extLst>
        </c:ser>
        <c:ser>
          <c:idx val="2"/>
          <c:order val="2"/>
          <c:tx>
            <c:v>Pos B1</c:v>
          </c:tx>
          <c:marker>
            <c:symbol val="none"/>
          </c:marker>
          <c:xVal>
            <c:numRef>
              <c:f>Hoja1!$R$5:$R$14</c:f>
              <c:numCache>
                <c:formatCode>0.000</c:formatCode>
                <c:ptCount val="10"/>
                <c:pt idx="0">
                  <c:v>25.000000000000007</c:v>
                </c:pt>
                <c:pt idx="1">
                  <c:v>28.320311846241648</c:v>
                </c:pt>
                <c:pt idx="2">
                  <c:v>31.466019552491876</c:v>
                </c:pt>
                <c:pt idx="3">
                  <c:v>34.417728784687704</c:v>
                </c:pt>
                <c:pt idx="4">
                  <c:v>37.157241273869715</c:v>
                </c:pt>
                <c:pt idx="5">
                  <c:v>39.667667014561765</c:v>
                </c:pt>
                <c:pt idx="6">
                  <c:v>41.933528397271203</c:v>
                </c:pt>
                <c:pt idx="7">
                  <c:v>43.940855633098266</c:v>
                </c:pt>
                <c:pt idx="8">
                  <c:v>45.677272882130048</c:v>
                </c:pt>
                <c:pt idx="9">
                  <c:v>47.13207455460892</c:v>
                </c:pt>
              </c:numCache>
            </c:numRef>
          </c:xVal>
          <c:yVal>
            <c:numRef>
              <c:f>Hoja1!$S$5:$S$14</c:f>
              <c:numCache>
                <c:formatCode>0.000</c:formatCode>
                <c:ptCount val="10"/>
                <c:pt idx="0">
                  <c:v>43.301270189221931</c:v>
                </c:pt>
                <c:pt idx="1">
                  <c:v>41.206309431100777</c:v>
                </c:pt>
                <c:pt idx="2">
                  <c:v>38.857298072848536</c:v>
                </c:pt>
                <c:pt idx="3">
                  <c:v>36.268718550614373</c:v>
                </c:pt>
                <c:pt idx="4">
                  <c:v>33.456530317942907</c:v>
                </c:pt>
                <c:pt idx="5">
                  <c:v>30.438071450436027</c:v>
                </c:pt>
                <c:pt idx="6">
                  <c:v>27.23195175075135</c:v>
                </c:pt>
                <c:pt idx="7">
                  <c:v>23.857938012980419</c:v>
                </c:pt>
                <c:pt idx="8">
                  <c:v>20.336832153790006</c:v>
                </c:pt>
                <c:pt idx="9">
                  <c:v>16.690342961688543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11-4AB9-BFB8-2708020FAF9E}"/>
            </c:ext>
          </c:extLst>
        </c:ser>
        <c:ser>
          <c:idx val="3"/>
          <c:order val="3"/>
          <c:tx>
            <c:v>Pos B2</c:v>
          </c:tx>
          <c:marker>
            <c:symbol val="none"/>
          </c:marker>
          <c:xVal>
            <c:numRef>
              <c:f>Hoja1!$T$5:$T$14</c:f>
              <c:numCache>
                <c:formatCode>0.000</c:formatCode>
                <c:ptCount val="10"/>
                <c:pt idx="0">
                  <c:v>-18.943094494699313</c:v>
                </c:pt>
                <c:pt idx="1">
                  <c:v>-13.685319946445423</c:v>
                </c:pt>
                <c:pt idx="2">
                  <c:v>-8.4539298671619196</c:v>
                </c:pt>
                <c:pt idx="3">
                  <c:v>-3.2696275475638839</c:v>
                </c:pt>
                <c:pt idx="4">
                  <c:v>1.8486449626310781</c:v>
                </c:pt>
                <c:pt idx="5">
                  <c:v>6.8836031147873511</c:v>
                </c:pt>
                <c:pt idx="6">
                  <c:v>11.819539415808423</c:v>
                </c:pt>
                <c:pt idx="7">
                  <c:v>16.642256275032434</c:v>
                </c:pt>
                <c:pt idx="8">
                  <c:v>21.339005043123016</c:v>
                </c:pt>
                <c:pt idx="9">
                  <c:v>25.898426194931009</c:v>
                </c:pt>
              </c:numCache>
            </c:numRef>
          </c:xVal>
          <c:yVal>
            <c:numRef>
              <c:f>Hoja1!$U$5:$U$14</c:f>
              <c:numCache>
                <c:formatCode>0.000</c:formatCode>
                <c:ptCount val="10"/>
                <c:pt idx="0">
                  <c:v>122.3580688921711</c:v>
                </c:pt>
                <c:pt idx="1">
                  <c:v>121.30936725429436</c:v>
                </c:pt>
                <c:pt idx="2">
                  <c:v>120.01991639717923</c:v>
                </c:pt>
                <c:pt idx="3">
                  <c:v>118.49180623050266</c:v>
                </c:pt>
                <c:pt idx="4">
                  <c:v>116.72883064319323</c:v>
                </c:pt>
                <c:pt idx="5">
                  <c:v>114.73622166231321</c:v>
                </c:pt>
                <c:pt idx="6">
                  <c:v>112.52040725648223</c:v>
                </c:pt>
                <c:pt idx="7">
                  <c:v>110.08878775955608</c:v>
                </c:pt>
                <c:pt idx="8">
                  <c:v>107.44952751747081</c:v>
                </c:pt>
                <c:pt idx="9">
                  <c:v>104.61135951783538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11-4AB9-BFB8-2708020FAF9E}"/>
            </c:ext>
          </c:extLst>
        </c:ser>
        <c:ser>
          <c:idx val="4"/>
          <c:order val="4"/>
          <c:tx>
            <c:v>Pos M2</c:v>
          </c:tx>
          <c:marker>
            <c:symbol val="none"/>
          </c:marker>
          <c:xVal>
            <c:numRef>
              <c:f>Hoja1!$V$5:$V$14</c:f>
              <c:numCache>
                <c:formatCode>0.000</c:formatCode>
                <c:ptCount val="10"/>
                <c:pt idx="0">
                  <c:v>198.05361374831409</c:v>
                </c:pt>
                <c:pt idx="1">
                  <c:v>199.59101931870168</c:v>
                </c:pt>
                <c:pt idx="2">
                  <c:v>200.73131732423658</c:v>
                </c:pt>
                <c:pt idx="3">
                  <c:v>201.44124105675326</c:v>
                </c:pt>
                <c:pt idx="4">
                  <c:v>201.68809883504659</c:v>
                </c:pt>
                <c:pt idx="5">
                  <c:v>201.44001932692692</c:v>
                </c:pt>
                <c:pt idx="6">
                  <c:v>200.66617956981443</c:v>
                </c:pt>
                <c:pt idx="7">
                  <c:v>199.33702284979842</c:v>
                </c:pt>
                <c:pt idx="8">
                  <c:v>197.42447108504709</c:v>
                </c:pt>
                <c:pt idx="9">
                  <c:v>194.90213462636737</c:v>
                </c:pt>
              </c:numCache>
            </c:numRef>
          </c:xVal>
          <c:yVal>
            <c:numRef>
              <c:f>Hoja1!$W$5:$W$14</c:f>
              <c:numCache>
                <c:formatCode>0.000</c:formatCode>
                <c:ptCount val="10"/>
                <c:pt idx="0">
                  <c:v>-27.83462019201318</c:v>
                </c:pt>
                <c:pt idx="1">
                  <c:v>-34.121062045440233</c:v>
                </c:pt>
                <c:pt idx="2">
                  <c:v>-40.87429605347242</c:v>
                </c:pt>
                <c:pt idx="3">
                  <c:v>-48.05811276649937</c:v>
                </c:pt>
                <c:pt idx="4">
                  <c:v>-55.635921898086579</c:v>
                </c:pt>
                <c:pt idx="5">
                  <c:v>-63.570301362871334</c:v>
                </c:pt>
                <c:pt idx="6">
                  <c:v>-71.822647251099539</c:v>
                </c:pt>
                <c:pt idx="7">
                  <c:v>-80.352902814839126</c:v>
                </c:pt>
                <c:pt idx="8">
                  <c:v>-89.119350719752475</c:v>
                </c:pt>
                <c:pt idx="9">
                  <c:v>-98.078457145617065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11-4AB9-BFB8-2708020FAF9E}"/>
            </c:ext>
          </c:extLst>
        </c:ser>
        <c:ser>
          <c:idx val="5"/>
          <c:order val="5"/>
          <c:tx>
            <c:v>Pos M6</c:v>
          </c:tx>
          <c:marker>
            <c:symbol val="none"/>
          </c:marker>
          <c:xVal>
            <c:numRef>
              <c:f>Hoja1!$Z$5:$Z$14</c:f>
              <c:numCache>
                <c:formatCode>0.000</c:formatCode>
                <c:ptCount val="10"/>
                <c:pt idx="0">
                  <c:v>216.6577056626858</c:v>
                </c:pt>
                <c:pt idx="1">
                  <c:v>219.79711045398997</c:v>
                </c:pt>
                <c:pt idx="2">
                  <c:v>222.62629206340961</c:v>
                </c:pt>
                <c:pt idx="3">
                  <c:v>225.10465557623814</c:v>
                </c:pt>
                <c:pt idx="4">
                  <c:v>227.19260660330929</c:v>
                </c:pt>
                <c:pt idx="5">
                  <c:v>228.85159088224162</c:v>
                </c:pt>
                <c:pt idx="6">
                  <c:v>230.04415063676311</c:v>
                </c:pt>
                <c:pt idx="7">
                  <c:v>230.73399677864646</c:v>
                </c:pt>
                <c:pt idx="8">
                  <c:v>230.88609589937542</c:v>
                </c:pt>
                <c:pt idx="9">
                  <c:v>230.46677093411324</c:v>
                </c:pt>
              </c:numCache>
            </c:numRef>
          </c:xVal>
          <c:yVal>
            <c:numRef>
              <c:f>Hoja1!$AA$5:$AA$14</c:f>
              <c:numCache>
                <c:formatCode>0.000</c:formatCode>
                <c:ptCount val="10"/>
                <c:pt idx="0">
                  <c:v>38.20259908672476</c:v>
                </c:pt>
                <c:pt idx="1">
                  <c:v>31.443718493038894</c:v>
                </c:pt>
                <c:pt idx="2">
                  <c:v>24.145982684760313</c:v>
                </c:pt>
                <c:pt idx="3">
                  <c:v>16.339630822119755</c:v>
                </c:pt>
                <c:pt idx="4">
                  <c:v>8.0551029761068733</c:v>
                </c:pt>
                <c:pt idx="5">
                  <c:v>-0.67648361506437926</c:v>
                </c:pt>
                <c:pt idx="6">
                  <c:v>-9.8229586872365147</c:v>
                </c:pt>
                <c:pt idx="7">
                  <c:v>-19.350799620459473</c:v>
                </c:pt>
                <c:pt idx="8">
                  <c:v>-29.224891620336429</c:v>
                </c:pt>
                <c:pt idx="9">
                  <c:v>-39.408335189682283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11-4AB9-BFB8-2708020FAF9E}"/>
            </c:ext>
          </c:extLst>
        </c:ser>
        <c:ser>
          <c:idx val="6"/>
          <c:order val="6"/>
          <c:tx>
            <c:v>Pos CIR</c:v>
          </c:tx>
          <c:marker>
            <c:symbol val="none"/>
          </c:marker>
          <c:xVal>
            <c:numRef>
              <c:f>Hoja1!$X$5:$X$14</c:f>
              <c:numCache>
                <c:formatCode>0.000</c:formatCode>
                <c:ptCount val="10"/>
                <c:pt idx="0">
                  <c:v>-58.333643191883716</c:v>
                </c:pt>
                <c:pt idx="1">
                  <c:v>-60.240466725623754</c:v>
                </c:pt>
                <c:pt idx="2">
                  <c:v>-61.425177744083868</c:v>
                </c:pt>
                <c:pt idx="3">
                  <c:v>-61.976462152250882</c:v>
                </c:pt>
                <c:pt idx="4">
                  <c:v>-61.964267375935535</c:v>
                </c:pt>
                <c:pt idx="5">
                  <c:v>-61.44750755530378</c:v>
                </c:pt>
                <c:pt idx="6">
                  <c:v>-60.478493260006985</c:v>
                </c:pt>
                <c:pt idx="7">
                  <c:v>-59.105497879420497</c:v>
                </c:pt>
                <c:pt idx="8">
                  <c:v>-57.374223330945455</c:v>
                </c:pt>
                <c:pt idx="9">
                  <c:v>-55.32859852241706</c:v>
                </c:pt>
              </c:numCache>
            </c:numRef>
          </c:xVal>
          <c:yVal>
            <c:numRef>
              <c:f>Hoja1!$Y$5:$Y$14</c:f>
              <c:numCache>
                <c:formatCode>0.000</c:formatCode>
                <c:ptCount val="10"/>
                <c:pt idx="0">
                  <c:v>-101.03683379893681</c:v>
                </c:pt>
                <c:pt idx="1">
                  <c:v>-87.650422977224551</c:v>
                </c:pt>
                <c:pt idx="2">
                  <c:v>-75.853777335829207</c:v>
                </c:pt>
                <c:pt idx="3">
                  <c:v>-65.309564051269746</c:v>
                </c:pt>
                <c:pt idx="4">
                  <c:v>-55.792876947245013</c:v>
                </c:pt>
                <c:pt idx="5">
                  <c:v>-47.150330891225657</c:v>
                </c:pt>
                <c:pt idx="6">
                  <c:v>-39.275192748192964</c:v>
                </c:pt>
                <c:pt idx="7">
                  <c:v>-32.091666953598903</c:v>
                </c:pt>
                <c:pt idx="8">
                  <c:v>-25.544650024235189</c:v>
                </c:pt>
                <c:pt idx="9">
                  <c:v>-19.592884328882391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11-4AB9-BFB8-2708020FAF9E}"/>
            </c:ext>
          </c:extLst>
        </c:ser>
        <c:ser>
          <c:idx val="7"/>
          <c:order val="7"/>
          <c:tx>
            <c:v>POSM1</c:v>
          </c:tx>
          <c:marker>
            <c:symbol val="none"/>
          </c:marker>
          <c:xVal>
            <c:numRef>
              <c:f>Hoja1!$V$3</c:f>
              <c:numCache>
                <c:formatCode>General</c:formatCode>
                <c:ptCount val="1"/>
                <c:pt idx="0">
                  <c:v>-1.8369701987210297E-14</c:v>
                </c:pt>
              </c:numCache>
            </c:numRef>
          </c:xVal>
          <c:yVal>
            <c:numRef>
              <c:f>Hoja1!$W$3</c:f>
              <c:numCache>
                <c:formatCode>General</c:formatCode>
                <c:ptCount val="1"/>
                <c:pt idx="0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511-4AB9-BFB8-2708020FAF9E}"/>
            </c:ext>
          </c:extLst>
        </c:ser>
        <c:ser>
          <c:idx val="8"/>
          <c:order val="8"/>
          <c:tx>
            <c:v>POSM5</c:v>
          </c:tx>
          <c:marker>
            <c:symbol val="none"/>
          </c:marker>
          <c:xVal>
            <c:numRef>
              <c:f>Hoja1!$Z$3</c:f>
              <c:numCache>
                <c:formatCode>General</c:formatCode>
                <c:ptCount val="1"/>
                <c:pt idx="0">
                  <c:v>102.3</c:v>
                </c:pt>
              </c:numCache>
            </c:numRef>
          </c:xVal>
          <c:yVal>
            <c:numRef>
              <c:f>Hoja1!$AA$3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11-4AB9-BFB8-2708020FAF9E}"/>
            </c:ext>
          </c:extLst>
        </c:ser>
        <c:ser>
          <c:idx val="9"/>
          <c:order val="9"/>
          <c:tx>
            <c:v>Paralelogramo</c:v>
          </c:tx>
          <c:marker>
            <c:symbol val="none"/>
          </c:marker>
          <c:xVal>
            <c:numRef>
              <c:f>Hoja1!$N$45:$N$48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25.000000000000007</c:v>
                </c:pt>
                <c:pt idx="2">
                  <c:v>-18.94309449469926</c:v>
                </c:pt>
                <c:pt idx="3" formatCode="General">
                  <c:v>-39.780875814730933</c:v>
                </c:pt>
              </c:numCache>
            </c:numRef>
          </c:xVal>
          <c:yVal>
            <c:numRef>
              <c:f>Hoja1!$O$45:$O$48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43.301270189221931</c:v>
                </c:pt>
                <c:pt idx="2">
                  <c:v>122.35806889217113</c:v>
                </c:pt>
                <c:pt idx="3" formatCode="General">
                  <c:v>4.181138530706149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511-4AB9-BFB8-2708020FAF9E}"/>
            </c:ext>
          </c:extLst>
        </c:ser>
        <c:ser>
          <c:idx val="10"/>
          <c:order val="10"/>
          <c:marker>
            <c:symbol val="none"/>
          </c:marker>
          <c:xVal>
            <c:numRef>
              <c:f>Hoja1!$AJ$7:$AJ$29</c:f>
              <c:numCache>
                <c:formatCode>General</c:formatCode>
                <c:ptCount val="23"/>
                <c:pt idx="0">
                  <c:v>-32.314051908168906</c:v>
                </c:pt>
                <c:pt idx="1">
                  <c:v>-35.538641726397273</c:v>
                </c:pt>
                <c:pt idx="2">
                  <c:v>-38.782669102510297</c:v>
                </c:pt>
                <c:pt idx="3">
                  <c:v>-42.045145874343589</c:v>
                </c:pt>
                <c:pt idx="4">
                  <c:v>-45.325078259868157</c:v>
                </c:pt>
                <c:pt idx="5">
                  <c:v>-48.621467159905933</c:v>
                </c:pt>
                <c:pt idx="6">
                  <c:v>-51.933308462465128</c:v>
                </c:pt>
                <c:pt idx="7">
                  <c:v>-55.259593348602472</c:v>
                </c:pt>
                <c:pt idx="8">
                  <c:v>-58.599308599719144</c:v>
                </c:pt>
                <c:pt idx="9">
                  <c:v>-61.951436906197188</c:v>
                </c:pt>
                <c:pt idx="10">
                  <c:v>-65.314957177281627</c:v>
                </c:pt>
                <c:pt idx="11">
                  <c:v>-68.688844852114727</c:v>
                </c:pt>
                <c:pt idx="12">
                  <c:v>-72.072072211827162</c:v>
                </c:pt>
                <c:pt idx="13">
                  <c:v>-75.463608692591094</c:v>
                </c:pt>
                <c:pt idx="14">
                  <c:v>-78.862421199539909</c:v>
                </c:pt>
                <c:pt idx="15">
                  <c:v>-82.267474421458999</c:v>
                </c:pt>
                <c:pt idx="16">
                  <c:v>-85.677731146151444</c:v>
                </c:pt>
                <c:pt idx="17">
                  <c:v>-89.092152576382972</c:v>
                </c:pt>
                <c:pt idx="18">
                  <c:v>-92.509698646309786</c:v>
                </c:pt>
                <c:pt idx="19">
                  <c:v>-95.929328338292407</c:v>
                </c:pt>
                <c:pt idx="20">
                  <c:v>-99.34999999999998</c:v>
                </c:pt>
                <c:pt idx="21">
                  <c:v>-102.77067166170755</c:v>
                </c:pt>
                <c:pt idx="22">
                  <c:v>-106.19030135369019</c:v>
                </c:pt>
              </c:numCache>
            </c:numRef>
          </c:xVal>
          <c:yVal>
            <c:numRef>
              <c:f>Hoja1!$AK$7:$AK$29</c:f>
              <c:numCache>
                <c:formatCode>General</c:formatCode>
                <c:ptCount val="23"/>
                <c:pt idx="0">
                  <c:v>155.73975367403804</c:v>
                </c:pt>
                <c:pt idx="1">
                  <c:v>156.88164081746609</c:v>
                </c:pt>
                <c:pt idx="2">
                  <c:v>157.96707719385009</c:v>
                </c:pt>
                <c:pt idx="3">
                  <c:v>158.99573216875496</c:v>
                </c:pt>
                <c:pt idx="4">
                  <c:v>159.96729240391051</c:v>
                </c:pt>
                <c:pt idx="5">
                  <c:v>160.88146195265739</c:v>
                </c:pt>
                <c:pt idx="6">
                  <c:v>161.7379623500953</c:v>
                </c:pt>
                <c:pt idx="7">
                  <c:v>162.5365326979061</c:v>
                </c:pt>
                <c:pt idx="8">
                  <c:v>163.27692974382589</c:v>
                </c:pt>
                <c:pt idx="9">
                  <c:v>163.95892795574215</c:v>
                </c:pt>
                <c:pt idx="10">
                  <c:v>164.58231959039279</c:v>
                </c:pt>
                <c:pt idx="11">
                  <c:v>165.14691475664699</c:v>
                </c:pt>
                <c:pt idx="12">
                  <c:v>165.65254147334778</c:v>
                </c:pt>
                <c:pt idx="13">
                  <c:v>166.0990457216991</c:v>
                </c:pt>
                <c:pt idx="14">
                  <c:v>166.48629149218158</c:v>
                </c:pt>
                <c:pt idx="15">
                  <c:v>166.81416082598213</c:v>
                </c:pt>
                <c:pt idx="16">
                  <c:v>167.08255385092554</c:v>
                </c:pt>
                <c:pt idx="17">
                  <c:v>167.29138881189647</c:v>
                </c:pt>
                <c:pt idx="18">
                  <c:v>167.44060209574278</c:v>
                </c:pt>
                <c:pt idx="19">
                  <c:v>167.5301482506527</c:v>
                </c:pt>
                <c:pt idx="20">
                  <c:v>167.56</c:v>
                </c:pt>
                <c:pt idx="21">
                  <c:v>167.5301482506527</c:v>
                </c:pt>
                <c:pt idx="22">
                  <c:v>167.44060209574278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0D-44C3-8BC9-CFC277D16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706143"/>
        <c:axId val="1"/>
      </c:scatterChart>
      <c:valAx>
        <c:axId val="1926706143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"/>
        <c:crosses val="autoZero"/>
        <c:crossBetween val="midCat"/>
        <c:majorUnit val="100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926706143"/>
        <c:crosses val="autoZero"/>
        <c:crossBetween val="midCat"/>
        <c:majorUnit val="1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25897146208309"/>
          <c:y val="0.34643439731323911"/>
          <c:w val="0.12774100562283022"/>
          <c:h val="0.57327903973976913"/>
        </c:manualLayout>
      </c:layout>
      <c:overlay val="0"/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E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6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3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4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47625</xdr:rowOff>
        </xdr:from>
        <xdr:to>
          <xdr:col>5</xdr:col>
          <xdr:colOff>9525</xdr:colOff>
          <xdr:row>12</xdr:row>
          <xdr:rowOff>9525</xdr:rowOff>
        </xdr:to>
        <xdr:sp macro="" textlink="">
          <xdr:nvSpPr>
            <xdr:cNvPr id="1025" name="CalcEsfuerzo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165100</xdr:colOff>
      <xdr:row>23</xdr:row>
      <xdr:rowOff>82550</xdr:rowOff>
    </xdr:from>
    <xdr:to>
      <xdr:col>4</xdr:col>
      <xdr:colOff>95250</xdr:colOff>
      <xdr:row>35</xdr:row>
      <xdr:rowOff>279400</xdr:rowOff>
    </xdr:to>
    <xdr:graphicFrame macro="">
      <xdr:nvGraphicFramePr>
        <xdr:cNvPr id="1164179" name="1 Gráfico">
          <a:extLst>
            <a:ext uri="{FF2B5EF4-FFF2-40B4-BE49-F238E27FC236}">
              <a16:creationId xmlns:a16="http://schemas.microsoft.com/office/drawing/2014/main" id="{00000000-0008-0000-0000-000093C3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304800</xdr:colOff>
      <xdr:row>23</xdr:row>
      <xdr:rowOff>25400</xdr:rowOff>
    </xdr:from>
    <xdr:to>
      <xdr:col>9</xdr:col>
      <xdr:colOff>336550</xdr:colOff>
      <xdr:row>35</xdr:row>
      <xdr:rowOff>114300</xdr:rowOff>
    </xdr:to>
    <xdr:graphicFrame macro="">
      <xdr:nvGraphicFramePr>
        <xdr:cNvPr id="1164180" name="2 Gráfico">
          <a:extLst>
            <a:ext uri="{FF2B5EF4-FFF2-40B4-BE49-F238E27FC236}">
              <a16:creationId xmlns:a16="http://schemas.microsoft.com/office/drawing/2014/main" id="{00000000-0008-0000-0000-000094C3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7</xdr:row>
      <xdr:rowOff>69850</xdr:rowOff>
    </xdr:from>
    <xdr:to>
      <xdr:col>12</xdr:col>
      <xdr:colOff>69850</xdr:colOff>
      <xdr:row>15</xdr:row>
      <xdr:rowOff>6350</xdr:rowOff>
    </xdr:to>
    <xdr:graphicFrame macro="">
      <xdr:nvGraphicFramePr>
        <xdr:cNvPr id="1164181" name="Chart 3">
          <a:extLst>
            <a:ext uri="{FF2B5EF4-FFF2-40B4-BE49-F238E27FC236}">
              <a16:creationId xmlns:a16="http://schemas.microsoft.com/office/drawing/2014/main" id="{00000000-0008-0000-0000-000095C3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31750</xdr:colOff>
      <xdr:row>15</xdr:row>
      <xdr:rowOff>146050</xdr:rowOff>
    </xdr:from>
    <xdr:to>
      <xdr:col>12</xdr:col>
      <xdr:colOff>63500</xdr:colOff>
      <xdr:row>23</xdr:row>
      <xdr:rowOff>88900</xdr:rowOff>
    </xdr:to>
    <xdr:graphicFrame macro="">
      <xdr:nvGraphicFramePr>
        <xdr:cNvPr id="1164182" name="Chart 8">
          <a:extLst>
            <a:ext uri="{FF2B5EF4-FFF2-40B4-BE49-F238E27FC236}">
              <a16:creationId xmlns:a16="http://schemas.microsoft.com/office/drawing/2014/main" id="{00000000-0008-0000-0000-000096C3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196463</xdr:colOff>
      <xdr:row>0</xdr:row>
      <xdr:rowOff>118745</xdr:rowOff>
    </xdr:from>
    <xdr:to>
      <xdr:col>7</xdr:col>
      <xdr:colOff>489475</xdr:colOff>
      <xdr:row>4</xdr:row>
      <xdr:rowOff>28934</xdr:rowOff>
    </xdr:to>
    <xdr:grpSp>
      <xdr:nvGrpSpPr>
        <xdr:cNvPr id="1164183" name="2 Grupo">
          <a:extLst>
            <a:ext uri="{FF2B5EF4-FFF2-40B4-BE49-F238E27FC236}">
              <a16:creationId xmlns:a16="http://schemas.microsoft.com/office/drawing/2014/main" id="{00000000-0008-0000-0000-000097C31100}"/>
            </a:ext>
          </a:extLst>
        </xdr:cNvPr>
        <xdr:cNvGrpSpPr>
          <a:grpSpLocks/>
        </xdr:cNvGrpSpPr>
      </xdr:nvGrpSpPr>
      <xdr:grpSpPr bwMode="auto">
        <a:xfrm>
          <a:off x="4476998" y="118745"/>
          <a:ext cx="1691282" cy="1230354"/>
          <a:chOff x="4290647" y="150203"/>
          <a:chExt cx="1431682" cy="1234585"/>
        </a:xfrm>
      </xdr:grpSpPr>
      <xdr:grpSp>
        <xdr:nvGrpSpPr>
          <xdr:cNvPr id="1164193" name="Group 5">
            <a:extLst>
              <a:ext uri="{FF2B5EF4-FFF2-40B4-BE49-F238E27FC236}">
                <a16:creationId xmlns:a16="http://schemas.microsoft.com/office/drawing/2014/main" id="{00000000-0008-0000-0000-0000A1C31100}"/>
              </a:ext>
            </a:extLst>
          </xdr:cNvPr>
          <xdr:cNvGrpSpPr>
            <a:grpSpLocks/>
          </xdr:cNvGrpSpPr>
        </xdr:nvGrpSpPr>
        <xdr:grpSpPr bwMode="auto">
          <a:xfrm>
            <a:off x="4290647" y="150203"/>
            <a:ext cx="1431682" cy="1234585"/>
            <a:chOff x="3804187" y="1418072"/>
            <a:chExt cx="1439168" cy="1246709"/>
          </a:xfrm>
        </xdr:grpSpPr>
        <xdr:grpSp>
          <xdr:nvGrpSpPr>
            <xdr:cNvPr id="1164194" name="Group 4">
              <a:extLst>
                <a:ext uri="{FF2B5EF4-FFF2-40B4-BE49-F238E27FC236}">
                  <a16:creationId xmlns:a16="http://schemas.microsoft.com/office/drawing/2014/main" id="{00000000-0008-0000-0000-0000A2C311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804187" y="1418072"/>
              <a:ext cx="1439168" cy="1246709"/>
              <a:chOff x="3637383" y="1425881"/>
              <a:chExt cx="1440819" cy="1265384"/>
            </a:xfrm>
          </xdr:grpSpPr>
          <xdr:grpSp>
            <xdr:nvGrpSpPr>
              <xdr:cNvPr id="1164195" name="Group 2">
                <a:extLst>
                  <a:ext uri="{FF2B5EF4-FFF2-40B4-BE49-F238E27FC236}">
                    <a16:creationId xmlns:a16="http://schemas.microsoft.com/office/drawing/2014/main" id="{00000000-0008-0000-0000-0000A3C311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637383" y="1425881"/>
                <a:ext cx="1440819" cy="1265384"/>
                <a:chOff x="3784878" y="1430045"/>
                <a:chExt cx="1536296" cy="739981"/>
              </a:xfrm>
            </xdr:grpSpPr>
            <xdr:sp macro="" textlink="">
              <xdr:nvSpPr>
                <xdr:cNvPr id="2" name="Rectangle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SpPr/>
              </xdr:nvSpPr>
              <xdr:spPr>
                <a:xfrm>
                  <a:off x="3784878" y="1430045"/>
                  <a:ext cx="1536296" cy="739981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s-ES" sz="1100"/>
                    <a:t>Anclaje Pist. Comp.</a:t>
                  </a:r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437" name="CalcularM1M2" hidden="1">
                      <a:extLst>
                        <a:ext uri="{63B3BB69-23CF-44E3-9099-C40C66FF867C}">
                          <a14:compatExt spid="_x0000_s1437"/>
                        </a:ext>
                        <a:ext uri="{FF2B5EF4-FFF2-40B4-BE49-F238E27FC236}">
                          <a16:creationId xmlns:a16="http://schemas.microsoft.com/office/drawing/2014/main" id="{00000000-0008-0000-0000-00009D05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854879" y="1744078"/>
                      <a:ext cx="680064" cy="118537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438" name="CalcularM3M2" hidden="1">
                      <a:extLst>
                        <a:ext uri="{63B3BB69-23CF-44E3-9099-C40C66FF867C}">
                          <a14:compatExt spid="_x0000_s1438"/>
                        </a:ext>
                        <a:ext uri="{FF2B5EF4-FFF2-40B4-BE49-F238E27FC236}">
                          <a16:creationId xmlns:a16="http://schemas.microsoft.com/office/drawing/2014/main" id="{00000000-0008-0000-0000-00009E05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854879" y="1877107"/>
                      <a:ext cx="682499" cy="11383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439" name="CalcularM4M2" hidden="1">
                      <a:extLst>
                        <a:ext uri="{63B3BB69-23CF-44E3-9099-C40C66FF867C}">
                          <a14:compatExt spid="_x0000_s1439"/>
                        </a:ext>
                        <a:ext uri="{FF2B5EF4-FFF2-40B4-BE49-F238E27FC236}">
                          <a16:creationId xmlns:a16="http://schemas.microsoft.com/office/drawing/2014/main" id="{00000000-0008-0000-0000-00009F05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854879" y="1998136"/>
                      <a:ext cx="682499" cy="11383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</xdr:grp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492" name="CalcularM4M3" hidden="1">
                    <a:extLst>
                      <a:ext uri="{63B3BB69-23CF-44E3-9099-C40C66FF867C}">
                        <a14:compatExt spid="_x0000_s1492"/>
                      </a:ext>
                      <a:ext uri="{FF2B5EF4-FFF2-40B4-BE49-F238E27FC236}">
                        <a16:creationId xmlns:a16="http://schemas.microsoft.com/office/drawing/2014/main" id="{00000000-0008-0000-0000-0000D4050000}"/>
                      </a:ext>
                    </a:extLst>
                  </xdr:cNvPr>
                  <xdr:cNvSpPr/>
                </xdr:nvSpPr>
                <xdr:spPr bwMode="auto">
                  <a:xfrm>
                    <a:off x="4372539" y="2397328"/>
                    <a:ext cx="648289" cy="19465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76" name="NoCalc1" hidden="1">
                  <a:extLst>
                    <a:ext uri="{63B3BB69-23CF-44E3-9099-C40C66FF867C}">
                      <a14:compatExt spid="_x0000_s1576"/>
                    </a:ext>
                    <a:ext uri="{FF2B5EF4-FFF2-40B4-BE49-F238E27FC236}">
                      <a16:creationId xmlns:a16="http://schemas.microsoft.com/office/drawing/2014/main" id="{00000000-0008-0000-0000-000028060000}"/>
                    </a:ext>
                  </a:extLst>
                </xdr:cNvPr>
                <xdr:cNvSpPr/>
              </xdr:nvSpPr>
              <xdr:spPr bwMode="auto">
                <a:xfrm>
                  <a:off x="3869762" y="1690688"/>
                  <a:ext cx="1299940" cy="19178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34" name="CalcularM1M3" hidden="1">
                <a:extLst>
                  <a:ext uri="{63B3BB69-23CF-44E3-9099-C40C66FF867C}">
                    <a14:compatExt spid="_x0000_s2034"/>
                  </a:ext>
                  <a:ext uri="{FF2B5EF4-FFF2-40B4-BE49-F238E27FC236}">
                    <a16:creationId xmlns:a16="http://schemas.microsoft.com/office/drawing/2014/main" id="{00000000-0008-0000-0000-0000F2070000}"/>
                  </a:ext>
                </a:extLst>
              </xdr:cNvPr>
              <xdr:cNvSpPr/>
            </xdr:nvSpPr>
            <xdr:spPr bwMode="auto">
              <a:xfrm>
                <a:off x="5021140" y="674076"/>
                <a:ext cx="636024" cy="18991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35" name="CalcularM1M4" hidden="1">
                <a:extLst>
                  <a:ext uri="{63B3BB69-23CF-44E3-9099-C40C66FF867C}">
                    <a14:compatExt spid="_x0000_s2035"/>
                  </a:ext>
                  <a:ext uri="{FF2B5EF4-FFF2-40B4-BE49-F238E27FC236}">
                    <a16:creationId xmlns:a16="http://schemas.microsoft.com/office/drawing/2014/main" id="{00000000-0008-0000-0000-0000F3070000}"/>
                  </a:ext>
                </a:extLst>
              </xdr:cNvPr>
              <xdr:cNvSpPr/>
            </xdr:nvSpPr>
            <xdr:spPr bwMode="auto">
              <a:xfrm>
                <a:off x="5021140" y="896083"/>
                <a:ext cx="636024" cy="18991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8</xdr:col>
      <xdr:colOff>116095</xdr:colOff>
      <xdr:row>0</xdr:row>
      <xdr:rowOff>118745</xdr:rowOff>
    </xdr:from>
    <xdr:to>
      <xdr:col>10</xdr:col>
      <xdr:colOff>570147</xdr:colOff>
      <xdr:row>4</xdr:row>
      <xdr:rowOff>22584</xdr:rowOff>
    </xdr:to>
    <xdr:grpSp>
      <xdr:nvGrpSpPr>
        <xdr:cNvPr id="1164184" name="3 Grupo">
          <a:extLst>
            <a:ext uri="{FF2B5EF4-FFF2-40B4-BE49-F238E27FC236}">
              <a16:creationId xmlns:a16="http://schemas.microsoft.com/office/drawing/2014/main" id="{00000000-0008-0000-0000-000098C31100}"/>
            </a:ext>
          </a:extLst>
        </xdr:cNvPr>
        <xdr:cNvGrpSpPr>
          <a:grpSpLocks/>
        </xdr:cNvGrpSpPr>
      </xdr:nvGrpSpPr>
      <xdr:grpSpPr bwMode="auto">
        <a:xfrm>
          <a:off x="6356875" y="118745"/>
          <a:ext cx="1810412" cy="1225909"/>
          <a:chOff x="6445284" y="153446"/>
          <a:chExt cx="1670014" cy="1245368"/>
        </a:xfrm>
      </xdr:grpSpPr>
      <xdr:grpSp>
        <xdr:nvGrpSpPr>
          <xdr:cNvPr id="1164189" name="Group 6">
            <a:extLst>
              <a:ext uri="{FF2B5EF4-FFF2-40B4-BE49-F238E27FC236}">
                <a16:creationId xmlns:a16="http://schemas.microsoft.com/office/drawing/2014/main" id="{00000000-0008-0000-0000-00009DC31100}"/>
              </a:ext>
            </a:extLst>
          </xdr:cNvPr>
          <xdr:cNvGrpSpPr>
            <a:grpSpLocks/>
          </xdr:cNvGrpSpPr>
        </xdr:nvGrpSpPr>
        <xdr:grpSpPr bwMode="auto">
          <a:xfrm>
            <a:off x="6445284" y="153446"/>
            <a:ext cx="1670014" cy="1245368"/>
            <a:chOff x="5247827" y="1401422"/>
            <a:chExt cx="1667378" cy="1197212"/>
          </a:xfrm>
        </xdr:grpSpPr>
        <xdr:grpSp>
          <xdr:nvGrpSpPr>
            <xdr:cNvPr id="1164190" name="Group 15">
              <a:extLst>
                <a:ext uri="{FF2B5EF4-FFF2-40B4-BE49-F238E27FC236}">
                  <a16:creationId xmlns:a16="http://schemas.microsoft.com/office/drawing/2014/main" id="{00000000-0008-0000-0000-00009EC311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247827" y="1401422"/>
              <a:ext cx="1667378" cy="1197212"/>
              <a:chOff x="3637386" y="1425879"/>
              <a:chExt cx="1668892" cy="1257335"/>
            </a:xfrm>
          </xdr:grpSpPr>
          <xdr:grpSp>
            <xdr:nvGrpSpPr>
              <xdr:cNvPr id="1164191" name="Group 16">
                <a:extLst>
                  <a:ext uri="{FF2B5EF4-FFF2-40B4-BE49-F238E27FC236}">
                    <a16:creationId xmlns:a16="http://schemas.microsoft.com/office/drawing/2014/main" id="{00000000-0008-0000-0000-00009FC311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637386" y="1425879"/>
                <a:ext cx="1668892" cy="1257335"/>
                <a:chOff x="3784880" y="1430044"/>
                <a:chExt cx="1779482" cy="735274"/>
              </a:xfrm>
            </xdr:grpSpPr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00000000-0008-0000-0000-000013000000}"/>
                    </a:ext>
                  </a:extLst>
                </xdr:cNvPr>
                <xdr:cNvSpPr/>
              </xdr:nvSpPr>
              <xdr:spPr>
                <a:xfrm>
                  <a:off x="3784880" y="1430044"/>
                  <a:ext cx="1779482" cy="735274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s-ES" sz="1100"/>
                    <a:t>Anclaje Pist</a:t>
                  </a:r>
                  <a:r>
                    <a:rPr lang="es-ES" sz="1100" baseline="0"/>
                    <a:t> .  Tracc.</a:t>
                  </a:r>
                  <a:endParaRPr lang="es-ES" sz="11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551" name="CalcularM6M5" hidden="1">
                      <a:extLst>
                        <a:ext uri="{63B3BB69-23CF-44E3-9099-C40C66FF867C}">
                          <a14:compatExt spid="_x0000_s1551"/>
                        </a:ext>
                        <a:ext uri="{FF2B5EF4-FFF2-40B4-BE49-F238E27FC236}">
                          <a16:creationId xmlns:a16="http://schemas.microsoft.com/office/drawing/2014/main" id="{00000000-0008-0000-0000-00000F06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869757" y="1740008"/>
                      <a:ext cx="679671" cy="119069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552" name="CalcularM6M3" hidden="1">
                      <a:extLst>
                        <a:ext uri="{63B3BB69-23CF-44E3-9099-C40C66FF867C}">
                          <a14:compatExt spid="_x0000_s1552"/>
                        </a:ext>
                        <a:ext uri="{FF2B5EF4-FFF2-40B4-BE49-F238E27FC236}">
                          <a16:creationId xmlns:a16="http://schemas.microsoft.com/office/drawing/2014/main" id="{00000000-0008-0000-0000-00001006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4603350" y="1740008"/>
                      <a:ext cx="682631" cy="116814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553" name="CalcularM6M4" hidden="1">
                      <a:extLst>
                        <a:ext uri="{63B3BB69-23CF-44E3-9099-C40C66FF867C}">
                          <a14:compatExt spid="_x0000_s1553"/>
                        </a:ext>
                        <a:ext uri="{FF2B5EF4-FFF2-40B4-BE49-F238E27FC236}">
                          <a16:creationId xmlns:a16="http://schemas.microsoft.com/office/drawing/2014/main" id="{00000000-0008-0000-0000-00001106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4603350" y="1867269"/>
                      <a:ext cx="682630" cy="121307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</xdr:grp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554" name="CalcularM3M4" hidden="1">
                    <a:extLst>
                      <a:ext uri="{63B3BB69-23CF-44E3-9099-C40C66FF867C}">
                        <a14:compatExt spid="_x0000_s1554"/>
                      </a:ext>
                      <a:ext uri="{FF2B5EF4-FFF2-40B4-BE49-F238E27FC236}">
                        <a16:creationId xmlns:a16="http://schemas.microsoft.com/office/drawing/2014/main" id="{00000000-0008-0000-0000-000012060000}"/>
                      </a:ext>
                    </a:extLst>
                  </xdr:cNvPr>
                  <xdr:cNvSpPr/>
                </xdr:nvSpPr>
                <xdr:spPr bwMode="auto">
                  <a:xfrm>
                    <a:off x="4404990" y="2389221"/>
                    <a:ext cx="643258" cy="20529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77" name="NoCalc2" hidden="1">
                  <a:extLst>
                    <a:ext uri="{63B3BB69-23CF-44E3-9099-C40C66FF867C}">
                      <a14:compatExt spid="_x0000_s1577"/>
                    </a:ext>
                    <a:ext uri="{FF2B5EF4-FFF2-40B4-BE49-F238E27FC236}">
                      <a16:creationId xmlns:a16="http://schemas.microsoft.com/office/drawing/2014/main" id="{00000000-0008-0000-0000-000029060000}"/>
                    </a:ext>
                  </a:extLst>
                </xdr:cNvPr>
                <xdr:cNvSpPr/>
              </xdr:nvSpPr>
              <xdr:spPr bwMode="auto">
                <a:xfrm>
                  <a:off x="5327357" y="1668782"/>
                  <a:ext cx="1321571" cy="17639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36" name="CalcularM3M5" hidden="1">
                <a:extLst>
                  <a:ext uri="{63B3BB69-23CF-44E3-9099-C40C66FF867C}">
                    <a14:compatExt spid="_x0000_s2036"/>
                  </a:ext>
                  <a:ext uri="{FF2B5EF4-FFF2-40B4-BE49-F238E27FC236}">
                    <a16:creationId xmlns:a16="http://schemas.microsoft.com/office/drawing/2014/main" id="{00000000-0008-0000-0000-0000F4070000}"/>
                  </a:ext>
                </a:extLst>
              </xdr:cNvPr>
              <xdr:cNvSpPr/>
            </xdr:nvSpPr>
            <xdr:spPr bwMode="auto">
              <a:xfrm>
                <a:off x="6524941" y="893990"/>
                <a:ext cx="637860" cy="20138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37" name="CalcularM4M5" hidden="1">
                <a:extLst>
                  <a:ext uri="{63B3BB69-23CF-44E3-9099-C40C66FF867C}">
                    <a14:compatExt spid="_x0000_s2037"/>
                  </a:ext>
                  <a:ext uri="{FF2B5EF4-FFF2-40B4-BE49-F238E27FC236}">
                    <a16:creationId xmlns:a16="http://schemas.microsoft.com/office/drawing/2014/main" id="{00000000-0008-0000-0000-0000F5070000}"/>
                  </a:ext>
                </a:extLst>
              </xdr:cNvPr>
              <xdr:cNvSpPr/>
            </xdr:nvSpPr>
            <xdr:spPr bwMode="auto">
              <a:xfrm>
                <a:off x="6524941" y="1107619"/>
                <a:ext cx="637860" cy="20274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9</xdr:col>
      <xdr:colOff>354135</xdr:colOff>
      <xdr:row>20</xdr:row>
      <xdr:rowOff>136525</xdr:rowOff>
    </xdr:from>
    <xdr:to>
      <xdr:col>14</xdr:col>
      <xdr:colOff>216633</xdr:colOff>
      <xdr:row>42</xdr:row>
      <xdr:rowOff>136525</xdr:rowOff>
    </xdr:to>
    <xdr:graphicFrame macro="">
      <xdr:nvGraphicFramePr>
        <xdr:cNvPr id="1164185" name="Kinematics">
          <a:extLst>
            <a:ext uri="{FF2B5EF4-FFF2-40B4-BE49-F238E27FC236}">
              <a16:creationId xmlns:a16="http://schemas.microsoft.com/office/drawing/2014/main" id="{00000000-0008-0000-0000-000099C3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20</xdr:col>
      <xdr:colOff>476250</xdr:colOff>
      <xdr:row>15</xdr:row>
      <xdr:rowOff>190500</xdr:rowOff>
    </xdr:from>
    <xdr:to>
      <xdr:col>30</xdr:col>
      <xdr:colOff>393700</xdr:colOff>
      <xdr:row>38</xdr:row>
      <xdr:rowOff>57150</xdr:rowOff>
    </xdr:to>
    <xdr:pic>
      <xdr:nvPicPr>
        <xdr:cNvPr id="1164186" name="Imagen 3">
          <a:extLst>
            <a:ext uri="{FF2B5EF4-FFF2-40B4-BE49-F238E27FC236}">
              <a16:creationId xmlns:a16="http://schemas.microsoft.com/office/drawing/2014/main" id="{00000000-0008-0000-0000-00009AC31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33900" y="3460750"/>
          <a:ext cx="8128000" cy="3956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867278</xdr:colOff>
      <xdr:row>6</xdr:row>
      <xdr:rowOff>78779</xdr:rowOff>
    </xdr:from>
    <xdr:to>
      <xdr:col>5</xdr:col>
      <xdr:colOff>186464</xdr:colOff>
      <xdr:row>8</xdr:row>
      <xdr:rowOff>117612</xdr:rowOff>
    </xdr:to>
    <xdr:sp macro="[0]!Hoja1.CalcEsfuerzos_Click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1490" y="1710355"/>
          <a:ext cx="807327" cy="361563"/>
        </a:xfrm>
        <a:prstGeom prst="roundRect">
          <a:avLst>
            <a:gd name="adj" fmla="val 46326"/>
          </a:avLst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Calcular</a:t>
          </a:r>
        </a:p>
      </xdr:txBody>
    </xdr:sp>
    <xdr:clientData/>
  </xdr:twoCellAnchor>
  <xdr:twoCellAnchor>
    <xdr:from>
      <xdr:col>7</xdr:col>
      <xdr:colOff>298136</xdr:colOff>
      <xdr:row>4</xdr:row>
      <xdr:rowOff>48603</xdr:rowOff>
    </xdr:from>
    <xdr:to>
      <xdr:col>14</xdr:col>
      <xdr:colOff>804156</xdr:colOff>
      <xdr:row>23</xdr:row>
      <xdr:rowOff>2888</xdr:rowOff>
    </xdr:to>
    <xdr:graphicFrame macro="">
      <xdr:nvGraphicFramePr>
        <xdr:cNvPr id="1164188" name="2 Gráfico">
          <a:extLst>
            <a:ext uri="{FF2B5EF4-FFF2-40B4-BE49-F238E27FC236}">
              <a16:creationId xmlns:a16="http://schemas.microsoft.com/office/drawing/2014/main" id="{00000000-0008-0000-0000-00009CC3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K63"/>
  <sheetViews>
    <sheetView tabSelected="1" zoomScaleNormal="100" workbookViewId="0">
      <selection activeCell="G40" sqref="G40"/>
    </sheetView>
  </sheetViews>
  <sheetFormatPr baseColWidth="10" defaultColWidth="9.140625" defaultRowHeight="12.75" x14ac:dyDescent="0.2"/>
  <cols>
    <col min="1" max="1" width="14.85546875" bestFit="1" customWidth="1"/>
    <col min="2" max="2" width="13.140625" bestFit="1" customWidth="1"/>
    <col min="3" max="3" width="14.7109375" customWidth="1"/>
    <col min="4" max="4" width="12.85546875" customWidth="1"/>
    <col min="5" max="5" width="8.5703125" customWidth="1"/>
    <col min="6" max="6" width="12" bestFit="1" customWidth="1"/>
    <col min="7" max="7" width="8.85546875" customWidth="1"/>
    <col min="8" max="8" width="8.42578125" customWidth="1"/>
    <col min="9" max="9" width="7.7109375" customWidth="1"/>
    <col min="10" max="10" width="12.5703125" bestFit="1" customWidth="1"/>
    <col min="11" max="11" width="13.5703125" bestFit="1" customWidth="1"/>
    <col min="12" max="13" width="11.42578125" customWidth="1"/>
    <col min="14" max="14" width="13.85546875" bestFit="1" customWidth="1"/>
    <col min="15" max="15" width="14.7109375" bestFit="1" customWidth="1"/>
    <col min="16" max="16" width="13.85546875" bestFit="1" customWidth="1"/>
    <col min="17" max="17" width="13.7109375" bestFit="1" customWidth="1"/>
    <col min="18" max="18" width="12.28515625" bestFit="1" customWidth="1"/>
    <col min="19" max="19" width="13.28515625" bestFit="1" customWidth="1"/>
    <col min="20" max="20" width="11.42578125" bestFit="1" customWidth="1"/>
    <col min="21" max="21" width="13.28515625" bestFit="1" customWidth="1"/>
    <col min="22" max="22" width="12.28515625" bestFit="1" customWidth="1"/>
    <col min="23" max="23" width="13.5703125" bestFit="1" customWidth="1"/>
    <col min="24" max="24" width="11.85546875" bestFit="1" customWidth="1"/>
    <col min="25" max="25" width="14" bestFit="1" customWidth="1"/>
    <col min="26" max="26" width="11.5703125" bestFit="1" customWidth="1"/>
    <col min="27" max="27" width="13.5703125" bestFit="1" customWidth="1"/>
    <col min="37" max="37" width="12" bestFit="1" customWidth="1"/>
  </cols>
  <sheetData>
    <row r="1" spans="1:37" ht="58.5" customHeight="1" thickBot="1" x14ac:dyDescent="0.25">
      <c r="A1" s="71" t="s">
        <v>39</v>
      </c>
      <c r="B1" s="71"/>
      <c r="C1" s="71"/>
      <c r="D1" s="71"/>
      <c r="E1" s="71"/>
      <c r="F1" s="20"/>
      <c r="G1" s="20"/>
      <c r="H1" s="20"/>
      <c r="I1" s="20"/>
      <c r="J1" s="20"/>
    </row>
    <row r="2" spans="1:37" ht="18.75" thickBot="1" x14ac:dyDescent="0.3">
      <c r="A2" s="76" t="s">
        <v>0</v>
      </c>
      <c r="B2" s="76"/>
      <c r="C2" s="76"/>
      <c r="D2" s="76"/>
      <c r="E2" s="76"/>
      <c r="H2" s="15"/>
      <c r="I2" s="15"/>
      <c r="J2" s="15"/>
      <c r="V2" s="57" t="s">
        <v>65</v>
      </c>
      <c r="W2" s="58" t="s">
        <v>64</v>
      </c>
      <c r="Z2" s="57" t="s">
        <v>66</v>
      </c>
      <c r="AA2" s="58" t="s">
        <v>67</v>
      </c>
    </row>
    <row r="3" spans="1:37" ht="13.5" thickBot="1" x14ac:dyDescent="0.25">
      <c r="A3" s="6" t="s">
        <v>3</v>
      </c>
      <c r="B3" s="10">
        <v>50</v>
      </c>
      <c r="C3" s="6" t="s">
        <v>11</v>
      </c>
      <c r="D3" s="12">
        <v>60</v>
      </c>
      <c r="F3" s="10"/>
      <c r="G3" s="12"/>
      <c r="H3" s="16"/>
      <c r="I3" s="16"/>
      <c r="J3" s="16"/>
      <c r="V3" s="55">
        <v>-1.8369701987210297E-14</v>
      </c>
      <c r="W3" s="56">
        <v>-100</v>
      </c>
      <c r="Z3" s="55">
        <v>102.3</v>
      </c>
      <c r="AA3" s="56">
        <v>0</v>
      </c>
    </row>
    <row r="4" spans="1:37" x14ac:dyDescent="0.2">
      <c r="A4" s="6" t="s">
        <v>4</v>
      </c>
      <c r="B4" s="11">
        <v>40</v>
      </c>
      <c r="C4" s="6" t="s">
        <v>12</v>
      </c>
      <c r="D4" s="12">
        <f>180-6</f>
        <v>174</v>
      </c>
      <c r="F4" s="10"/>
      <c r="G4" s="12"/>
      <c r="H4" s="16"/>
      <c r="I4" s="16"/>
      <c r="J4" s="16"/>
      <c r="N4" s="18" t="s">
        <v>20</v>
      </c>
      <c r="O4" s="19" t="s">
        <v>21</v>
      </c>
      <c r="P4" s="18" t="s">
        <v>22</v>
      </c>
      <c r="Q4" s="19" t="s">
        <v>23</v>
      </c>
      <c r="R4" s="18" t="s">
        <v>24</v>
      </c>
      <c r="S4" s="19" t="s">
        <v>25</v>
      </c>
      <c r="T4" s="18" t="s">
        <v>26</v>
      </c>
      <c r="U4" s="19" t="s">
        <v>27</v>
      </c>
      <c r="V4" s="53" t="s">
        <v>28</v>
      </c>
      <c r="W4" s="54" t="s">
        <v>29</v>
      </c>
      <c r="X4" s="18" t="s">
        <v>30</v>
      </c>
      <c r="Y4" s="19" t="s">
        <v>31</v>
      </c>
      <c r="Z4" s="53" t="s">
        <v>46</v>
      </c>
      <c r="AA4" s="54" t="s">
        <v>47</v>
      </c>
    </row>
    <row r="5" spans="1:37" x14ac:dyDescent="0.2">
      <c r="A5" s="6" t="s">
        <v>5</v>
      </c>
      <c r="B5" s="10">
        <v>120</v>
      </c>
      <c r="C5" s="6" t="s">
        <v>13</v>
      </c>
      <c r="D5" s="12">
        <v>80</v>
      </c>
      <c r="H5" s="16"/>
      <c r="I5" s="16"/>
      <c r="J5" s="16"/>
      <c r="N5" s="59">
        <v>-107.4599216693648</v>
      </c>
      <c r="O5" s="60">
        <v>168.67828916257713</v>
      </c>
      <c r="P5" s="61">
        <v>-107.4599216693648</v>
      </c>
      <c r="Q5" s="62">
        <v>168.67828916257713</v>
      </c>
      <c r="R5" s="63">
        <v>25.000000000000007</v>
      </c>
      <c r="S5" s="62">
        <v>43.301270189221931</v>
      </c>
      <c r="T5" s="63">
        <v>-18.943094494699313</v>
      </c>
      <c r="U5" s="62">
        <v>122.3580688921711</v>
      </c>
      <c r="V5" s="63">
        <v>198.05361374831409</v>
      </c>
      <c r="W5" s="62">
        <v>-27.83462019201318</v>
      </c>
      <c r="X5" s="63">
        <v>-58.333643191883716</v>
      </c>
      <c r="Y5" s="62">
        <v>-101.03683379893681</v>
      </c>
      <c r="Z5" s="63">
        <v>216.6577056626858</v>
      </c>
      <c r="AA5" s="62">
        <v>38.20259908672476</v>
      </c>
      <c r="AI5">
        <v>196</v>
      </c>
      <c r="AJ5">
        <v>-99.35</v>
      </c>
      <c r="AK5">
        <v>-28.44</v>
      </c>
    </row>
    <row r="6" spans="1:37" x14ac:dyDescent="0.2">
      <c r="A6" s="6" t="s">
        <v>6</v>
      </c>
      <c r="B6" s="10">
        <v>100</v>
      </c>
      <c r="C6" s="6" t="s">
        <v>14</v>
      </c>
      <c r="D6" s="12">
        <v>270</v>
      </c>
      <c r="H6" s="16"/>
      <c r="I6" s="16"/>
      <c r="J6" s="16"/>
      <c r="N6" s="64">
        <v>-101.04836687072682</v>
      </c>
      <c r="O6" s="60">
        <v>169.77058402682624</v>
      </c>
      <c r="P6" s="61">
        <v>-101.04836687072682</v>
      </c>
      <c r="Q6" s="62">
        <v>169.77058402682624</v>
      </c>
      <c r="R6" s="63">
        <v>28.320311846241648</v>
      </c>
      <c r="S6" s="62">
        <v>41.206309431100777</v>
      </c>
      <c r="T6" s="63">
        <v>-13.685319946445423</v>
      </c>
      <c r="U6" s="62">
        <v>121.30936725429436</v>
      </c>
      <c r="V6" s="63">
        <v>199.59101931870168</v>
      </c>
      <c r="W6" s="62">
        <v>-34.121062045440233</v>
      </c>
      <c r="X6" s="63">
        <v>-60.240466725623754</v>
      </c>
      <c r="Y6" s="62">
        <v>-87.650422977224551</v>
      </c>
      <c r="Z6" s="63">
        <v>219.79711045398997</v>
      </c>
      <c r="AA6" s="62">
        <v>31.443718493038894</v>
      </c>
    </row>
    <row r="7" spans="1:37" x14ac:dyDescent="0.2">
      <c r="A7" s="6" t="s">
        <v>8</v>
      </c>
      <c r="B7" s="10">
        <v>200</v>
      </c>
      <c r="C7" s="6" t="s">
        <v>15</v>
      </c>
      <c r="D7" s="12">
        <v>352</v>
      </c>
      <c r="H7" s="16"/>
      <c r="I7" s="16"/>
      <c r="J7" s="16"/>
      <c r="N7" s="59">
        <v>-94.534447363611079</v>
      </c>
      <c r="O7" s="60">
        <v>170.72431469271203</v>
      </c>
      <c r="P7" s="61">
        <v>-94.534447363611079</v>
      </c>
      <c r="Q7" s="62">
        <v>170.72431469271203</v>
      </c>
      <c r="R7" s="63">
        <v>31.466019552491876</v>
      </c>
      <c r="S7" s="62">
        <v>38.857298072848536</v>
      </c>
      <c r="T7" s="63">
        <v>-8.4539298671619196</v>
      </c>
      <c r="U7" s="62">
        <v>120.01991639717923</v>
      </c>
      <c r="V7" s="63">
        <v>200.73131732423658</v>
      </c>
      <c r="W7" s="62">
        <v>-40.87429605347242</v>
      </c>
      <c r="X7" s="63">
        <v>-61.425177744083868</v>
      </c>
      <c r="Y7" s="62">
        <v>-75.853777335829207</v>
      </c>
      <c r="Z7" s="63">
        <v>222.62629206340961</v>
      </c>
      <c r="AA7" s="62">
        <v>24.145982684760313</v>
      </c>
      <c r="AH7">
        <v>70</v>
      </c>
      <c r="AI7">
        <f>RADIANS(AH7)</f>
        <v>1.2217304763960306</v>
      </c>
      <c r="AJ7">
        <f>AI$5*COS(AI7)+AJ$5</f>
        <v>-32.314051908168906</v>
      </c>
      <c r="AK7">
        <f>AI$5*SIN(AI7) + AK$5</f>
        <v>155.73975367403804</v>
      </c>
    </row>
    <row r="8" spans="1:37" x14ac:dyDescent="0.2">
      <c r="A8" s="6" t="s">
        <v>18</v>
      </c>
      <c r="B8" s="10">
        <v>100</v>
      </c>
      <c r="C8" s="6" t="s">
        <v>59</v>
      </c>
      <c r="D8" s="12">
        <v>175</v>
      </c>
      <c r="H8" s="16"/>
      <c r="I8" s="16"/>
      <c r="J8" s="16"/>
      <c r="N8" s="64">
        <v>-87.93255765927951</v>
      </c>
      <c r="O8" s="60">
        <v>171.52933788373178</v>
      </c>
      <c r="P8" s="61">
        <v>-87.93255765927951</v>
      </c>
      <c r="Q8" s="62">
        <v>171.52933788373178</v>
      </c>
      <c r="R8" s="63">
        <v>34.417728784687704</v>
      </c>
      <c r="S8" s="62">
        <v>36.268718550614373</v>
      </c>
      <c r="T8" s="63">
        <v>-3.2696275475638839</v>
      </c>
      <c r="U8" s="62">
        <v>118.49180623050266</v>
      </c>
      <c r="V8" s="63">
        <v>201.44124105675326</v>
      </c>
      <c r="W8" s="62">
        <v>-48.05811276649937</v>
      </c>
      <c r="X8" s="63">
        <v>-61.976462152250882</v>
      </c>
      <c r="Y8" s="62">
        <v>-65.309564051269746</v>
      </c>
      <c r="Z8" s="63">
        <v>225.10465557623814</v>
      </c>
      <c r="AA8" s="62">
        <v>16.339630822119755</v>
      </c>
      <c r="AH8">
        <v>71</v>
      </c>
      <c r="AI8">
        <f t="shared" ref="AI8:AI21" si="0">RADIANS(AH8)</f>
        <v>1.2391837689159739</v>
      </c>
      <c r="AJ8">
        <f t="shared" ref="AJ8:AJ21" si="1">AI$5*COS(AI8)+AJ$5</f>
        <v>-35.538641726397273</v>
      </c>
      <c r="AK8">
        <f t="shared" ref="AK8:AK21" si="2">AI$5*SIN(AI8) + AK$5</f>
        <v>156.88164081746609</v>
      </c>
    </row>
    <row r="9" spans="1:37" x14ac:dyDescent="0.2">
      <c r="A9" s="6" t="s">
        <v>19</v>
      </c>
      <c r="B9" s="10">
        <v>100</v>
      </c>
      <c r="C9" s="6" t="s">
        <v>60</v>
      </c>
      <c r="D9" s="12">
        <v>90</v>
      </c>
      <c r="E9" s="1"/>
      <c r="H9" s="17"/>
      <c r="I9" s="17"/>
      <c r="J9" s="16"/>
      <c r="N9" s="63">
        <v>-81.254946999845885</v>
      </c>
      <c r="O9" s="62">
        <v>172.17776662850008</v>
      </c>
      <c r="P9" s="63">
        <v>-81.254946999845885</v>
      </c>
      <c r="Q9" s="62">
        <v>172.17776662850008</v>
      </c>
      <c r="R9" s="63">
        <v>37.157241273869715</v>
      </c>
      <c r="S9" s="62">
        <v>33.456530317942907</v>
      </c>
      <c r="T9" s="63">
        <v>1.8486449626310781</v>
      </c>
      <c r="U9" s="62">
        <v>116.72883064319323</v>
      </c>
      <c r="V9" s="63">
        <v>201.68809883504659</v>
      </c>
      <c r="W9" s="62">
        <v>-55.635921898086579</v>
      </c>
      <c r="X9" s="63">
        <v>-61.964267375935535</v>
      </c>
      <c r="Y9" s="62">
        <v>-55.792876947245013</v>
      </c>
      <c r="Z9" s="63">
        <v>227.19260660330929</v>
      </c>
      <c r="AA9" s="62">
        <v>8.0551029761068733</v>
      </c>
      <c r="AH9">
        <v>72</v>
      </c>
      <c r="AI9">
        <f t="shared" si="0"/>
        <v>1.2566370614359172</v>
      </c>
      <c r="AJ9">
        <f t="shared" si="1"/>
        <v>-38.782669102510297</v>
      </c>
      <c r="AK9">
        <f t="shared" si="2"/>
        <v>157.96707719385009</v>
      </c>
    </row>
    <row r="10" spans="1:37" x14ac:dyDescent="0.2">
      <c r="A10" s="6" t="s">
        <v>36</v>
      </c>
      <c r="B10" s="10">
        <v>102.3</v>
      </c>
      <c r="C10" s="6" t="s">
        <v>62</v>
      </c>
      <c r="D10" s="12">
        <v>0</v>
      </c>
      <c r="E10" s="1"/>
      <c r="H10" s="17"/>
      <c r="I10" s="17"/>
      <c r="J10" s="16"/>
      <c r="N10" s="63">
        <v>-74.511920855877875</v>
      </c>
      <c r="O10" s="62">
        <v>172.66341887147721</v>
      </c>
      <c r="P10" s="63">
        <v>-74.511920855877875</v>
      </c>
      <c r="Q10" s="62">
        <v>172.66341887147721</v>
      </c>
      <c r="R10" s="63">
        <v>39.667667014561765</v>
      </c>
      <c r="S10" s="62">
        <v>30.438071450436027</v>
      </c>
      <c r="T10" s="63">
        <v>6.8836031147873511</v>
      </c>
      <c r="U10" s="62">
        <v>114.73622166231321</v>
      </c>
      <c r="V10" s="63">
        <v>201.44001932692692</v>
      </c>
      <c r="W10" s="62">
        <v>-63.570301362871334</v>
      </c>
      <c r="X10" s="63">
        <v>-61.44750755530378</v>
      </c>
      <c r="Y10" s="62">
        <v>-47.150330891225657</v>
      </c>
      <c r="Z10" s="63">
        <v>228.85159088224162</v>
      </c>
      <c r="AA10" s="62">
        <v>-0.67648361506437926</v>
      </c>
      <c r="AH10">
        <v>73</v>
      </c>
      <c r="AI10">
        <f t="shared" si="0"/>
        <v>1.2740903539558606</v>
      </c>
      <c r="AJ10">
        <f t="shared" si="1"/>
        <v>-42.045145874343589</v>
      </c>
      <c r="AK10">
        <f t="shared" si="2"/>
        <v>158.99573216875496</v>
      </c>
    </row>
    <row r="11" spans="1:37" ht="13.5" thickBot="1" x14ac:dyDescent="0.25">
      <c r="A11" s="6" t="s">
        <v>37</v>
      </c>
      <c r="B11" s="10">
        <v>220</v>
      </c>
      <c r="C11" s="6" t="s">
        <v>61</v>
      </c>
      <c r="D11" s="12">
        <v>10</v>
      </c>
      <c r="E11" s="1"/>
      <c r="H11" s="17"/>
      <c r="I11" s="17"/>
      <c r="J11" s="16"/>
      <c r="N11" s="63">
        <v>-67.712009679825698</v>
      </c>
      <c r="O11" s="62">
        <v>172.98133842213053</v>
      </c>
      <c r="P11" s="63">
        <v>-67.712009679825698</v>
      </c>
      <c r="Q11" s="62">
        <v>172.98133842213053</v>
      </c>
      <c r="R11" s="63">
        <v>41.933528397271203</v>
      </c>
      <c r="S11" s="62">
        <v>27.23195175075135</v>
      </c>
      <c r="T11" s="63">
        <v>11.819539415808423</v>
      </c>
      <c r="U11" s="62">
        <v>112.52040725648223</v>
      </c>
      <c r="V11" s="63">
        <v>200.66617956981443</v>
      </c>
      <c r="W11" s="62">
        <v>-71.822647251099539</v>
      </c>
      <c r="X11" s="63">
        <v>-60.478493260006985</v>
      </c>
      <c r="Y11" s="62">
        <v>-39.275192748192964</v>
      </c>
      <c r="Z11" s="63">
        <v>230.04415063676311</v>
      </c>
      <c r="AA11" s="62">
        <v>-9.8229586872365147</v>
      </c>
      <c r="AH11">
        <v>74</v>
      </c>
      <c r="AI11">
        <f t="shared" si="0"/>
        <v>1.2915436464758039</v>
      </c>
      <c r="AJ11">
        <f t="shared" si="1"/>
        <v>-45.325078259868157</v>
      </c>
      <c r="AK11">
        <f t="shared" si="2"/>
        <v>159.96729240391051</v>
      </c>
    </row>
    <row r="12" spans="1:37" ht="13.5" thickBot="1" x14ac:dyDescent="0.25">
      <c r="A12" s="6" t="s">
        <v>7</v>
      </c>
      <c r="B12" s="10">
        <f>B13</f>
        <v>200</v>
      </c>
      <c r="C12" s="6" t="s">
        <v>16</v>
      </c>
      <c r="D12" s="12">
        <f>D13</f>
        <v>122.5</v>
      </c>
      <c r="E12" s="1"/>
      <c r="H12" s="77" t="s">
        <v>58</v>
      </c>
      <c r="I12" s="78"/>
      <c r="J12" s="79"/>
      <c r="N12" s="63">
        <v>-60.862120109711924</v>
      </c>
      <c r="O12" s="62">
        <v>173.12737229458833</v>
      </c>
      <c r="P12" s="63">
        <v>-60.862120109711924</v>
      </c>
      <c r="Q12" s="62">
        <v>173.12737229458833</v>
      </c>
      <c r="R12" s="63">
        <v>43.940855633098266</v>
      </c>
      <c r="S12" s="62">
        <v>23.857938012980419</v>
      </c>
      <c r="T12" s="63">
        <v>16.642256275032434</v>
      </c>
      <c r="U12" s="62">
        <v>110.08878775955608</v>
      </c>
      <c r="V12" s="63">
        <v>199.33702284979842</v>
      </c>
      <c r="W12" s="62">
        <v>-80.352902814839126</v>
      </c>
      <c r="X12" s="63">
        <v>-59.105497879420497</v>
      </c>
      <c r="Y12" s="62">
        <v>-32.091666953598903</v>
      </c>
      <c r="Z12" s="63">
        <v>230.73399677864646</v>
      </c>
      <c r="AA12" s="62">
        <v>-19.350799620459473</v>
      </c>
      <c r="AH12">
        <v>75</v>
      </c>
      <c r="AI12">
        <f t="shared" si="0"/>
        <v>1.3089969389957472</v>
      </c>
      <c r="AJ12">
        <f t="shared" si="1"/>
        <v>-48.621467159905933</v>
      </c>
      <c r="AK12">
        <f t="shared" si="2"/>
        <v>160.88146195265739</v>
      </c>
    </row>
    <row r="13" spans="1:37" ht="18.75" thickBot="1" x14ac:dyDescent="0.3">
      <c r="A13" s="6" t="s">
        <v>9</v>
      </c>
      <c r="B13" s="10">
        <v>200</v>
      </c>
      <c r="C13" s="6" t="s">
        <v>17</v>
      </c>
      <c r="D13" s="12">
        <f>180-57.5</f>
        <v>122.5</v>
      </c>
      <c r="E13" s="3"/>
      <c r="H13" s="50" t="s">
        <v>57</v>
      </c>
      <c r="I13" s="51" t="s">
        <v>56</v>
      </c>
      <c r="J13" s="52" t="s">
        <v>55</v>
      </c>
      <c r="N13" s="63">
        <v>-53.96767924500088</v>
      </c>
      <c r="O13" s="62">
        <v>173.09779330185657</v>
      </c>
      <c r="P13" s="63">
        <v>-53.96767924500088</v>
      </c>
      <c r="Q13" s="62">
        <v>173.09779330185657</v>
      </c>
      <c r="R13" s="63">
        <v>45.677272882130048</v>
      </c>
      <c r="S13" s="62">
        <v>20.336832153790006</v>
      </c>
      <c r="T13" s="65">
        <v>21.339005043123016</v>
      </c>
      <c r="U13" s="62">
        <v>107.44952751747081</v>
      </c>
      <c r="V13" s="63">
        <v>197.42447108504709</v>
      </c>
      <c r="W13" s="62">
        <v>-89.119350719752475</v>
      </c>
      <c r="X13" s="63">
        <v>-57.374223330945455</v>
      </c>
      <c r="Y13" s="62">
        <v>-25.544650024235189</v>
      </c>
      <c r="Z13" s="63">
        <v>230.88609589937542</v>
      </c>
      <c r="AA13" s="62">
        <v>-29.224891620336429</v>
      </c>
      <c r="AH13">
        <v>76</v>
      </c>
      <c r="AI13">
        <f t="shared" si="0"/>
        <v>1.3264502315156905</v>
      </c>
      <c r="AJ13">
        <f t="shared" si="1"/>
        <v>-51.933308462465128</v>
      </c>
      <c r="AK13">
        <f t="shared" si="2"/>
        <v>161.7379623500953</v>
      </c>
    </row>
    <row r="14" spans="1:37" ht="18" customHeight="1" thickBot="1" x14ac:dyDescent="0.25">
      <c r="A14" s="7" t="s">
        <v>72</v>
      </c>
      <c r="B14" s="14">
        <v>1000</v>
      </c>
      <c r="C14" s="6" t="s">
        <v>71</v>
      </c>
      <c r="D14" s="14">
        <v>165</v>
      </c>
      <c r="H14" s="41">
        <v>1</v>
      </c>
      <c r="I14" s="38">
        <v>160</v>
      </c>
      <c r="J14" s="39">
        <v>500</v>
      </c>
      <c r="N14" s="66">
        <v>-47.03277939745157</v>
      </c>
      <c r="O14" s="67">
        <v>172.88896016263055</v>
      </c>
      <c r="P14" s="66">
        <v>-47.03277939745157</v>
      </c>
      <c r="Q14" s="67">
        <v>172.88896016263055</v>
      </c>
      <c r="R14" s="66">
        <v>47.13207455460892</v>
      </c>
      <c r="S14" s="67">
        <v>16.690342961688543</v>
      </c>
      <c r="T14" s="66">
        <v>25.898426194931009</v>
      </c>
      <c r="U14" s="67">
        <v>104.61135951783538</v>
      </c>
      <c r="V14" s="66">
        <v>194.90213462636737</v>
      </c>
      <c r="W14" s="67">
        <v>-98.078457145617065</v>
      </c>
      <c r="X14" s="66">
        <v>-55.32859852241706</v>
      </c>
      <c r="Y14" s="67">
        <v>-19.592884328882391</v>
      </c>
      <c r="Z14" s="66">
        <v>230.46677093411324</v>
      </c>
      <c r="AA14" s="67">
        <v>-39.408335189682283</v>
      </c>
      <c r="AH14">
        <v>77</v>
      </c>
      <c r="AI14">
        <f t="shared" si="0"/>
        <v>1.3439035240356338</v>
      </c>
      <c r="AJ14">
        <f t="shared" si="1"/>
        <v>-55.259593348602472</v>
      </c>
      <c r="AK14">
        <f t="shared" si="2"/>
        <v>162.5365326979061</v>
      </c>
    </row>
    <row r="15" spans="1:37" ht="18" customHeight="1" thickBot="1" x14ac:dyDescent="0.25">
      <c r="A15" s="7" t="s">
        <v>73</v>
      </c>
      <c r="B15" s="14">
        <v>0</v>
      </c>
      <c r="C15" s="7" t="s">
        <v>74</v>
      </c>
      <c r="D15" s="14">
        <v>0</v>
      </c>
      <c r="H15" s="40">
        <v>2</v>
      </c>
      <c r="I15" s="37">
        <v>300</v>
      </c>
      <c r="J15" s="27">
        <f>J14-50</f>
        <v>450</v>
      </c>
      <c r="N15" s="1"/>
      <c r="O15" s="1"/>
      <c r="P15" s="1"/>
      <c r="Q15" s="1"/>
      <c r="R15" s="1"/>
      <c r="AH15">
        <v>78</v>
      </c>
      <c r="AI15">
        <f t="shared" si="0"/>
        <v>1.3613568165555769</v>
      </c>
      <c r="AJ15">
        <f t="shared" si="1"/>
        <v>-58.599308599719144</v>
      </c>
      <c r="AK15">
        <f t="shared" si="2"/>
        <v>163.27692974382589</v>
      </c>
    </row>
    <row r="16" spans="1:37" ht="18" customHeight="1" thickBot="1" x14ac:dyDescent="0.25">
      <c r="A16" s="7" t="s">
        <v>10</v>
      </c>
      <c r="B16" s="14">
        <v>45</v>
      </c>
      <c r="C16" s="6"/>
      <c r="D16" s="13"/>
      <c r="N16" s="21" t="s">
        <v>40</v>
      </c>
      <c r="O16" s="22" t="s">
        <v>41</v>
      </c>
      <c r="P16" s="22" t="s">
        <v>45</v>
      </c>
      <c r="Q16" s="22" t="s">
        <v>42</v>
      </c>
      <c r="R16" s="23" t="s">
        <v>43</v>
      </c>
      <c r="AH16">
        <v>79</v>
      </c>
      <c r="AI16">
        <f t="shared" si="0"/>
        <v>1.3788101090755203</v>
      </c>
      <c r="AJ16">
        <f t="shared" si="1"/>
        <v>-61.951436906197188</v>
      </c>
      <c r="AK16">
        <f t="shared" si="2"/>
        <v>163.95892795574215</v>
      </c>
    </row>
    <row r="17" spans="1:37" ht="18" customHeight="1" thickBot="1" x14ac:dyDescent="0.25">
      <c r="A17" s="72" t="s">
        <v>35</v>
      </c>
      <c r="B17" s="73"/>
      <c r="C17" s="73"/>
      <c r="D17" s="73"/>
      <c r="E17" s="73"/>
      <c r="F17" s="74"/>
      <c r="H17" s="82" t="s">
        <v>63</v>
      </c>
      <c r="I17" s="78"/>
      <c r="J17" s="79"/>
      <c r="N17" s="42">
        <v>5.0888874903416268E-14</v>
      </c>
      <c r="O17" s="43">
        <v>9825.2556954961965</v>
      </c>
      <c r="P17" s="43">
        <v>11105.863436463354</v>
      </c>
      <c r="Q17" s="43">
        <v>0</v>
      </c>
      <c r="R17" s="68">
        <v>76.348429401418954</v>
      </c>
      <c r="AH17">
        <v>80</v>
      </c>
      <c r="AI17">
        <f t="shared" si="0"/>
        <v>1.3962634015954636</v>
      </c>
      <c r="AJ17">
        <f t="shared" si="1"/>
        <v>-65.314957177281627</v>
      </c>
      <c r="AK17">
        <f t="shared" si="2"/>
        <v>164.58231959039279</v>
      </c>
    </row>
    <row r="18" spans="1:37" ht="18" customHeight="1" thickBot="1" x14ac:dyDescent="0.25">
      <c r="A18" s="32" t="s">
        <v>32</v>
      </c>
      <c r="B18" s="33">
        <f>(J15-J14)/(I15-I14)</f>
        <v>-0.35714285714285715</v>
      </c>
      <c r="C18" s="34" t="s">
        <v>33</v>
      </c>
      <c r="D18" s="35">
        <f>J15-I15*B18</f>
        <v>557.14285714285711</v>
      </c>
      <c r="E18" s="34" t="s">
        <v>38</v>
      </c>
      <c r="F18" s="36">
        <v>0</v>
      </c>
      <c r="H18" s="50" t="s">
        <v>57</v>
      </c>
      <c r="I18" s="51" t="s">
        <v>56</v>
      </c>
      <c r="J18" s="52" t="s">
        <v>55</v>
      </c>
      <c r="N18" s="42">
        <v>1.3948611854295945</v>
      </c>
      <c r="O18" s="43">
        <v>8161.5800290205971</v>
      </c>
      <c r="P18" s="43">
        <v>8433.9374201517421</v>
      </c>
      <c r="Q18" s="43">
        <v>0</v>
      </c>
      <c r="R18" s="68">
        <v>63.67328308805827</v>
      </c>
      <c r="AH18">
        <v>81</v>
      </c>
      <c r="AI18">
        <f t="shared" si="0"/>
        <v>1.4137166941154069</v>
      </c>
      <c r="AJ18">
        <f t="shared" si="1"/>
        <v>-68.688844852114727</v>
      </c>
      <c r="AK18">
        <f t="shared" si="2"/>
        <v>165.14691475664699</v>
      </c>
    </row>
    <row r="19" spans="1:37" ht="18" customHeight="1" x14ac:dyDescent="0.2">
      <c r="A19" s="72" t="s">
        <v>34</v>
      </c>
      <c r="B19" s="73"/>
      <c r="C19" s="73"/>
      <c r="D19" s="73"/>
      <c r="E19" s="73"/>
      <c r="F19" s="74"/>
      <c r="H19" s="41">
        <v>1</v>
      </c>
      <c r="I19" s="38">
        <v>100</v>
      </c>
      <c r="J19" s="39">
        <v>-300</v>
      </c>
      <c r="N19" s="42">
        <v>2.876814915728787</v>
      </c>
      <c r="O19" s="43">
        <v>6621.853923905458</v>
      </c>
      <c r="P19" s="43">
        <v>6026.5680778218421</v>
      </c>
      <c r="Q19" s="43">
        <v>0</v>
      </c>
      <c r="R19" s="68">
        <v>50.839540865348667</v>
      </c>
      <c r="AH19">
        <v>82</v>
      </c>
      <c r="AI19">
        <f t="shared" si="0"/>
        <v>1.4311699866353502</v>
      </c>
      <c r="AJ19">
        <f t="shared" si="1"/>
        <v>-72.072072211827162</v>
      </c>
      <c r="AK19">
        <f t="shared" si="2"/>
        <v>165.65254147334778</v>
      </c>
    </row>
    <row r="20" spans="1:37" ht="18" customHeight="1" thickBot="1" x14ac:dyDescent="0.25">
      <c r="A20" s="29" t="s">
        <v>32</v>
      </c>
      <c r="B20" s="30">
        <f>(J20-J19)/(I20-I19)</f>
        <v>1</v>
      </c>
      <c r="C20" s="31" t="s">
        <v>33</v>
      </c>
      <c r="D20" s="28">
        <f>J19-I19*B20</f>
        <v>-400</v>
      </c>
      <c r="E20" s="31" t="s">
        <v>38</v>
      </c>
      <c r="F20" s="27">
        <v>0</v>
      </c>
      <c r="H20" s="40">
        <v>2</v>
      </c>
      <c r="I20" s="37">
        <v>250</v>
      </c>
      <c r="J20" s="27">
        <v>-150</v>
      </c>
      <c r="N20" s="42">
        <v>4.4425602146087151</v>
      </c>
      <c r="O20" s="43">
        <v>5191.2191014057216</v>
      </c>
      <c r="P20" s="43">
        <v>3942.570119965827</v>
      </c>
      <c r="Q20" s="43">
        <v>0</v>
      </c>
      <c r="R20" s="68">
        <v>38.335873961140557</v>
      </c>
      <c r="AH20">
        <v>83</v>
      </c>
      <c r="AI20">
        <f t="shared" si="0"/>
        <v>1.4486232791552935</v>
      </c>
      <c r="AJ20">
        <f t="shared" si="1"/>
        <v>-75.463608692591094</v>
      </c>
      <c r="AK20">
        <f t="shared" si="2"/>
        <v>166.0990457216991</v>
      </c>
    </row>
    <row r="21" spans="1:37" x14ac:dyDescent="0.2">
      <c r="N21" s="42">
        <v>6.0895369245275539</v>
      </c>
      <c r="O21" s="43">
        <v>3858.1359247820842</v>
      </c>
      <c r="P21" s="43">
        <v>2204.2733491688668</v>
      </c>
      <c r="Q21" s="43">
        <v>0</v>
      </c>
      <c r="R21" s="68">
        <v>26.498238609081397</v>
      </c>
      <c r="AH21">
        <v>84</v>
      </c>
      <c r="AI21">
        <f t="shared" si="0"/>
        <v>1.4660765716752369</v>
      </c>
      <c r="AJ21">
        <f t="shared" si="1"/>
        <v>-78.862421199539909</v>
      </c>
      <c r="AK21">
        <f t="shared" si="2"/>
        <v>166.48629149218158</v>
      </c>
    </row>
    <row r="22" spans="1:37" x14ac:dyDescent="0.2">
      <c r="A22" s="6" t="s">
        <v>44</v>
      </c>
      <c r="B22">
        <v>200</v>
      </c>
      <c r="N22" s="42">
        <v>7.8157853188100574</v>
      </c>
      <c r="O22" s="43">
        <v>2612.8826601147998</v>
      </c>
      <c r="P22" s="43">
        <v>814.58562485214998</v>
      </c>
      <c r="Q22" s="43">
        <v>0</v>
      </c>
      <c r="R22" s="68">
        <v>15.565134945477322</v>
      </c>
      <c r="AH22">
        <v>85</v>
      </c>
      <c r="AI22">
        <f t="shared" ref="AI22:AI29" si="3">RADIANS(AH22)</f>
        <v>1.4835298641951802</v>
      </c>
      <c r="AJ22">
        <f t="shared" ref="AJ22:AJ29" si="4">AI$5*COS(AI22)+AJ$5</f>
        <v>-82.267474421458999</v>
      </c>
      <c r="AK22">
        <f t="shared" ref="AK22:AK29" si="5">AI$5*SIN(AI22) + AK$5</f>
        <v>166.81416082598213</v>
      </c>
    </row>
    <row r="23" spans="1:37" x14ac:dyDescent="0.2">
      <c r="N23" s="42">
        <v>9.6198356307579065</v>
      </c>
      <c r="O23" s="43">
        <v>1446.7032839637252</v>
      </c>
      <c r="P23" s="43">
        <v>-234.20160654677977</v>
      </c>
      <c r="Q23" s="43">
        <v>0</v>
      </c>
      <c r="R23" s="68">
        <v>5.7091209011185393</v>
      </c>
      <c r="AH23">
        <v>86</v>
      </c>
      <c r="AI23">
        <f t="shared" si="3"/>
        <v>1.5009831567151235</v>
      </c>
      <c r="AJ23">
        <f t="shared" si="4"/>
        <v>-85.677731146151444</v>
      </c>
      <c r="AK23">
        <f t="shared" si="5"/>
        <v>167.08255385092554</v>
      </c>
    </row>
    <row r="24" spans="1:37" x14ac:dyDescent="0.2">
      <c r="N24" s="42">
        <v>11.500620511453326</v>
      </c>
      <c r="O24" s="43">
        <v>351.3244460582884</v>
      </c>
      <c r="P24" s="43">
        <v>-955.73681195881807</v>
      </c>
      <c r="Q24" s="43">
        <v>0</v>
      </c>
      <c r="R24" s="68">
        <v>-2.9450982078766534</v>
      </c>
      <c r="AH24">
        <v>87</v>
      </c>
      <c r="AI24">
        <f t="shared" si="3"/>
        <v>1.5184364492350666</v>
      </c>
      <c r="AJ24">
        <f t="shared" si="4"/>
        <v>-89.092152576382972</v>
      </c>
      <c r="AK24">
        <f t="shared" si="5"/>
        <v>167.29138881189647</v>
      </c>
    </row>
    <row r="25" spans="1:37" x14ac:dyDescent="0.2">
      <c r="N25" s="42">
        <v>13.457405406953647</v>
      </c>
      <c r="O25" s="43">
        <v>681.30881718890862</v>
      </c>
      <c r="P25" s="43">
        <v>-1367.0600746510161</v>
      </c>
      <c r="Q25" s="43">
        <v>0</v>
      </c>
      <c r="R25" s="68">
        <v>-3.4516814788980064</v>
      </c>
      <c r="AH25">
        <v>88</v>
      </c>
      <c r="AI25">
        <f t="shared" si="3"/>
        <v>1.5358897417550099</v>
      </c>
      <c r="AJ25">
        <f t="shared" si="4"/>
        <v>-92.509698646309786</v>
      </c>
      <c r="AK25">
        <f t="shared" si="5"/>
        <v>167.44060209574278</v>
      </c>
    </row>
    <row r="26" spans="1:37" ht="13.5" thickBot="1" x14ac:dyDescent="0.25">
      <c r="N26" s="46">
        <v>15.489733239702304</v>
      </c>
      <c r="O26" s="47">
        <v>1659.1638249930877</v>
      </c>
      <c r="P26" s="47">
        <v>-1487.1782363262839</v>
      </c>
      <c r="Q26" s="47">
        <v>0</v>
      </c>
      <c r="R26" s="69">
        <v>0.89268718279651316</v>
      </c>
      <c r="AH26">
        <v>89</v>
      </c>
      <c r="AI26">
        <f t="shared" si="3"/>
        <v>1.5533430342749532</v>
      </c>
      <c r="AJ26">
        <f t="shared" si="4"/>
        <v>-95.929328338292407</v>
      </c>
      <c r="AK26">
        <f t="shared" si="5"/>
        <v>167.5301482506527</v>
      </c>
    </row>
    <row r="27" spans="1:37" x14ac:dyDescent="0.2">
      <c r="N27" s="24"/>
      <c r="O27" s="24"/>
      <c r="P27" s="24"/>
      <c r="Q27" s="24"/>
      <c r="R27" s="24"/>
      <c r="AH27">
        <v>90</v>
      </c>
      <c r="AI27">
        <f t="shared" si="3"/>
        <v>1.5707963267948966</v>
      </c>
      <c r="AJ27">
        <f t="shared" si="4"/>
        <v>-99.34999999999998</v>
      </c>
      <c r="AK27">
        <f t="shared" si="5"/>
        <v>167.56</v>
      </c>
    </row>
    <row r="28" spans="1:37" ht="13.5" thickBot="1" x14ac:dyDescent="0.25">
      <c r="N28" s="83" t="s">
        <v>48</v>
      </c>
      <c r="O28" s="83"/>
      <c r="P28" s="83"/>
      <c r="Q28" s="83"/>
      <c r="R28" s="83"/>
      <c r="S28" s="83"/>
      <c r="T28" s="83"/>
      <c r="AH28">
        <v>91</v>
      </c>
      <c r="AI28">
        <f t="shared" si="3"/>
        <v>1.5882496193148399</v>
      </c>
      <c r="AJ28">
        <f t="shared" si="4"/>
        <v>-102.77067166170755</v>
      </c>
      <c r="AK28">
        <f t="shared" si="5"/>
        <v>167.5301482506527</v>
      </c>
    </row>
    <row r="29" spans="1:37" ht="25.5" x14ac:dyDescent="0.2">
      <c r="N29" s="21" t="s">
        <v>40</v>
      </c>
      <c r="O29" s="25" t="s">
        <v>49</v>
      </c>
      <c r="P29" s="25" t="s">
        <v>50</v>
      </c>
      <c r="Q29" s="25" t="s">
        <v>51</v>
      </c>
      <c r="R29" s="25" t="s">
        <v>54</v>
      </c>
      <c r="S29" s="25" t="s">
        <v>52</v>
      </c>
      <c r="T29" s="26" t="s">
        <v>53</v>
      </c>
      <c r="AH29">
        <v>92</v>
      </c>
      <c r="AI29">
        <f t="shared" si="3"/>
        <v>1.6057029118347832</v>
      </c>
      <c r="AJ29">
        <f t="shared" si="4"/>
        <v>-106.19030135369019</v>
      </c>
      <c r="AK29">
        <f t="shared" si="5"/>
        <v>167.44060209574278</v>
      </c>
    </row>
    <row r="30" spans="1:37" x14ac:dyDescent="0.2">
      <c r="N30" s="42">
        <v>5.0888874903416268E-14</v>
      </c>
      <c r="O30" s="43">
        <v>49.12627847748098</v>
      </c>
      <c r="P30" s="43">
        <v>86.080518980556704</v>
      </c>
      <c r="Q30" s="43">
        <v>0</v>
      </c>
      <c r="R30" s="43">
        <v>274.15258304672528</v>
      </c>
      <c r="S30" s="44">
        <v>47.898006334712925</v>
      </c>
      <c r="T30" s="45">
        <v>0</v>
      </c>
    </row>
    <row r="31" spans="1:37" x14ac:dyDescent="0.2">
      <c r="N31" s="42">
        <v>1.3948611854295945</v>
      </c>
      <c r="O31" s="43">
        <v>40.807900145102984</v>
      </c>
      <c r="P31" s="43">
        <v>83.592125271900514</v>
      </c>
      <c r="Q31" s="43">
        <v>0</v>
      </c>
      <c r="R31" s="43">
        <v>260.63549175281611</v>
      </c>
      <c r="S31" s="44">
        <v>51.525610121686938</v>
      </c>
      <c r="T31" s="45">
        <v>0</v>
      </c>
    </row>
    <row r="32" spans="1:37" x14ac:dyDescent="0.2">
      <c r="N32" s="42">
        <v>2.876814915728787</v>
      </c>
      <c r="O32" s="43">
        <v>33.109269619527289</v>
      </c>
      <c r="P32" s="43">
        <v>80.763701463771284</v>
      </c>
      <c r="Q32" s="43">
        <v>0</v>
      </c>
      <c r="R32" s="43">
        <v>248.79103521464413</v>
      </c>
      <c r="S32" s="44">
        <v>55.04988128903824</v>
      </c>
      <c r="T32" s="45">
        <v>0</v>
      </c>
    </row>
    <row r="33" spans="1:20" x14ac:dyDescent="0.2">
      <c r="A33" s="1"/>
      <c r="N33" s="42">
        <v>4.4425602146087151</v>
      </c>
      <c r="O33" s="43">
        <v>25.956095507028607</v>
      </c>
      <c r="P33" s="43">
        <v>77.750965440690479</v>
      </c>
      <c r="Q33" s="43">
        <v>0</v>
      </c>
      <c r="R33" s="43">
        <v>238.25697128047955</v>
      </c>
      <c r="S33" s="44">
        <v>58.461215588559028</v>
      </c>
      <c r="T33" s="45">
        <v>0</v>
      </c>
    </row>
    <row r="34" spans="1:20" x14ac:dyDescent="0.2">
      <c r="A34" s="1"/>
      <c r="N34" s="42">
        <v>6.0895369245275539</v>
      </c>
      <c r="O34" s="43">
        <v>19.290679623910421</v>
      </c>
      <c r="P34" s="43">
        <v>74.650180139559922</v>
      </c>
      <c r="Q34" s="43">
        <v>0</v>
      </c>
      <c r="R34" s="43">
        <v>228.785368091344</v>
      </c>
      <c r="S34" s="44">
        <v>61.752128775955562</v>
      </c>
      <c r="T34" s="45">
        <v>0</v>
      </c>
    </row>
    <row r="35" spans="1:20" ht="18" x14ac:dyDescent="0.25">
      <c r="A35" s="9"/>
      <c r="N35" s="42">
        <v>7.8157853188100574</v>
      </c>
      <c r="O35" s="43">
        <v>13.064413300574</v>
      </c>
      <c r="P35" s="43">
        <v>71.522630972411278</v>
      </c>
      <c r="Q35" s="43">
        <v>0</v>
      </c>
      <c r="R35" s="43">
        <v>220.20164277231987</v>
      </c>
      <c r="S35" s="44">
        <v>64.916586152054947</v>
      </c>
      <c r="T35" s="45">
        <v>0</v>
      </c>
    </row>
    <row r="36" spans="1:20" x14ac:dyDescent="0.2">
      <c r="A36" s="1"/>
      <c r="N36" s="42">
        <v>9.6198356307579065</v>
      </c>
      <c r="O36" s="43">
        <v>7.2335164198186259</v>
      </c>
      <c r="P36" s="43">
        <v>68.408322488227483</v>
      </c>
      <c r="Q36" s="43">
        <v>0</v>
      </c>
      <c r="R36" s="43">
        <v>212.37975135180449</v>
      </c>
      <c r="S36" s="44">
        <v>67.949583262157063</v>
      </c>
      <c r="T36" s="45">
        <v>0</v>
      </c>
    </row>
    <row r="37" spans="1:20" x14ac:dyDescent="0.2">
      <c r="A37" s="1"/>
      <c r="N37" s="42">
        <v>11.500620511453326</v>
      </c>
      <c r="O37" s="43">
        <v>1.756622230291442</v>
      </c>
      <c r="P37" s="43">
        <v>65.333919528904019</v>
      </c>
      <c r="Q37" s="43">
        <v>0</v>
      </c>
      <c r="R37" s="43">
        <v>205.22655722788164</v>
      </c>
      <c r="S37" s="44">
        <v>70.846878247343852</v>
      </c>
      <c r="T37" s="45">
        <v>0</v>
      </c>
    </row>
    <row r="38" spans="1:20" hidden="1" x14ac:dyDescent="0.2">
      <c r="A38" s="1"/>
      <c r="N38" s="42">
        <v>13.457405406953647</v>
      </c>
      <c r="O38" s="43">
        <v>3.4065440859445433</v>
      </c>
      <c r="P38" s="43">
        <v>62.317500516389039</v>
      </c>
      <c r="Q38" s="43">
        <v>0</v>
      </c>
      <c r="R38" s="43">
        <v>198.67165080395608</v>
      </c>
      <c r="S38" s="44">
        <v>73.604817781784405</v>
      </c>
      <c r="T38" s="45">
        <v>0</v>
      </c>
    </row>
    <row r="39" spans="1:20" ht="13.5" thickBot="1" x14ac:dyDescent="0.25">
      <c r="A39" s="1"/>
      <c r="N39" s="46">
        <v>15.489733239702304</v>
      </c>
      <c r="O39" s="47">
        <v>8.2958191249654387</v>
      </c>
      <c r="P39" s="47">
        <v>59.371487477021283</v>
      </c>
      <c r="Q39" s="47">
        <v>0</v>
      </c>
      <c r="R39" s="47">
        <v>192.66053325424261</v>
      </c>
      <c r="S39" s="48">
        <v>76.220221809777371</v>
      </c>
      <c r="T39" s="49">
        <v>0</v>
      </c>
    </row>
    <row r="40" spans="1:20" x14ac:dyDescent="0.2">
      <c r="A40" s="4"/>
    </row>
    <row r="41" spans="1:20" x14ac:dyDescent="0.2">
      <c r="A41" s="1"/>
    </row>
    <row r="42" spans="1:20" ht="18" x14ac:dyDescent="0.25">
      <c r="A42" s="9"/>
    </row>
    <row r="43" spans="1:20" x14ac:dyDescent="0.2">
      <c r="A43" s="1"/>
      <c r="N43" t="s">
        <v>68</v>
      </c>
    </row>
    <row r="44" spans="1:20" x14ac:dyDescent="0.2">
      <c r="A44" s="8"/>
      <c r="N44" t="s">
        <v>69</v>
      </c>
      <c r="O44" t="s">
        <v>70</v>
      </c>
    </row>
    <row r="45" spans="1:20" x14ac:dyDescent="0.2">
      <c r="A45" s="1"/>
      <c r="N45">
        <v>0</v>
      </c>
      <c r="O45">
        <v>0</v>
      </c>
    </row>
    <row r="46" spans="1:20" x14ac:dyDescent="0.2">
      <c r="A46" s="1"/>
      <c r="N46" s="70">
        <v>25.000000000000007</v>
      </c>
      <c r="O46" s="70">
        <v>43.301270189221931</v>
      </c>
    </row>
    <row r="47" spans="1:20" ht="18" x14ac:dyDescent="0.25">
      <c r="A47" s="9"/>
      <c r="N47" s="70">
        <v>-18.94309449469926</v>
      </c>
      <c r="O47" s="70">
        <v>122.35806889217113</v>
      </c>
    </row>
    <row r="48" spans="1:20" ht="18" x14ac:dyDescent="0.25">
      <c r="A48" s="9"/>
      <c r="N48">
        <f>B4*COS(RADIANS(D4))</f>
        <v>-39.780875814730933</v>
      </c>
      <c r="O48">
        <f>B4*SIN(RADIANS(D4))</f>
        <v>4.181138530706149</v>
      </c>
      <c r="P48" t="s">
        <v>79</v>
      </c>
    </row>
    <row r="49" spans="1:16" x14ac:dyDescent="0.2">
      <c r="A49" s="1"/>
      <c r="N49" s="80" t="s">
        <v>75</v>
      </c>
      <c r="O49" s="81"/>
    </row>
    <row r="50" spans="1:16" x14ac:dyDescent="0.2">
      <c r="A50" s="1"/>
      <c r="N50" s="70">
        <f>N46</f>
        <v>25.000000000000007</v>
      </c>
      <c r="O50" s="70">
        <f>O46</f>
        <v>43.301270189221931</v>
      </c>
    </row>
    <row r="51" spans="1:16" x14ac:dyDescent="0.2">
      <c r="A51" s="1"/>
      <c r="N51" s="70">
        <f>N47</f>
        <v>-18.94309449469926</v>
      </c>
      <c r="O51" s="70">
        <f>O47</f>
        <v>122.35806889217113</v>
      </c>
    </row>
    <row r="52" spans="1:16" x14ac:dyDescent="0.2">
      <c r="A52" s="1"/>
      <c r="N52">
        <v>-107.45992166936472</v>
      </c>
      <c r="O52">
        <v>168.67828916257716</v>
      </c>
      <c r="P52">
        <v>6.9236696899208381</v>
      </c>
    </row>
    <row r="53" spans="1:16" x14ac:dyDescent="0.2">
      <c r="A53" s="1"/>
      <c r="B53">
        <v>1</v>
      </c>
      <c r="C53">
        <v>1</v>
      </c>
      <c r="N53">
        <v>-107.45992166936472</v>
      </c>
      <c r="O53">
        <v>168.67828916257716</v>
      </c>
      <c r="P53">
        <v>3.2371248873292906</v>
      </c>
    </row>
    <row r="54" spans="1:16" x14ac:dyDescent="0.2">
      <c r="A54" s="1"/>
      <c r="N54" s="70">
        <f>N50</f>
        <v>25.000000000000007</v>
      </c>
      <c r="O54" s="70">
        <f>O50</f>
        <v>43.301270189221931</v>
      </c>
    </row>
    <row r="55" spans="1:16" x14ac:dyDescent="0.2">
      <c r="A55" s="1"/>
      <c r="N55" s="80" t="s">
        <v>76</v>
      </c>
      <c r="O55" s="81"/>
    </row>
    <row r="56" spans="1:16" x14ac:dyDescent="0.2">
      <c r="A56" s="1"/>
      <c r="N56">
        <v>64.944804833018367</v>
      </c>
      <c r="O56">
        <v>76.040596560003095</v>
      </c>
    </row>
    <row r="57" spans="1:16" x14ac:dyDescent="0.2">
      <c r="A57" s="1"/>
      <c r="N57">
        <v>-8.4101850691286639</v>
      </c>
      <c r="O57">
        <v>55.338720577678004</v>
      </c>
    </row>
    <row r="58" spans="1:16" x14ac:dyDescent="0.2">
      <c r="A58" s="1"/>
      <c r="N58" s="80" t="s">
        <v>77</v>
      </c>
      <c r="O58" s="81"/>
    </row>
    <row r="59" spans="1:16" x14ac:dyDescent="0.2">
      <c r="A59" s="1"/>
      <c r="N59">
        <v>-25.504533924806633</v>
      </c>
      <c r="O59">
        <v>-43.737397154788184</v>
      </c>
    </row>
    <row r="60" spans="1:16" x14ac:dyDescent="0.2">
      <c r="A60" s="1"/>
      <c r="N60">
        <v>-30.090751157602401</v>
      </c>
      <c r="O60">
        <v>39.931775502364651</v>
      </c>
    </row>
    <row r="61" spans="1:16" x14ac:dyDescent="0.2">
      <c r="A61" s="8"/>
      <c r="B61" s="1"/>
      <c r="C61" s="1"/>
      <c r="D61" s="1"/>
      <c r="E61" s="1"/>
      <c r="F61" s="1"/>
      <c r="N61" s="80" t="s">
        <v>78</v>
      </c>
      <c r="O61" s="81"/>
    </row>
    <row r="62" spans="1:16" x14ac:dyDescent="0.2">
      <c r="A62" s="75"/>
      <c r="B62" s="75"/>
      <c r="C62" s="75"/>
      <c r="D62" s="75"/>
      <c r="E62" s="1"/>
      <c r="F62" s="1"/>
      <c r="N62">
        <f>N53</f>
        <v>-107.45992166936472</v>
      </c>
      <c r="O62">
        <f>O53</f>
        <v>168.67828916257716</v>
      </c>
    </row>
    <row r="63" spans="1:16" x14ac:dyDescent="0.2">
      <c r="A63" s="1"/>
      <c r="B63" s="1"/>
      <c r="C63" s="1"/>
      <c r="D63" s="1"/>
      <c r="E63" s="1"/>
      <c r="F63" s="1"/>
      <c r="N63">
        <v>-965.92582628906825</v>
      </c>
      <c r="O63">
        <v>258.81904510252105</v>
      </c>
    </row>
  </sheetData>
  <mergeCells count="13">
    <mergeCell ref="H12:J12"/>
    <mergeCell ref="N49:O49"/>
    <mergeCell ref="N55:O55"/>
    <mergeCell ref="N58:O58"/>
    <mergeCell ref="N61:O61"/>
    <mergeCell ref="H17:J17"/>
    <mergeCell ref="N28:T28"/>
    <mergeCell ref="A1:E1"/>
    <mergeCell ref="A19:F19"/>
    <mergeCell ref="A17:F17"/>
    <mergeCell ref="A62:B62"/>
    <mergeCell ref="C62:D62"/>
    <mergeCell ref="A2:E2"/>
  </mergeCells>
  <phoneticPr fontId="3" type="noConversion"/>
  <pageMargins left="0.25" right="0.25" top="0.75" bottom="0.75" header="0.3" footer="0.3"/>
  <pageSetup paperSize="8" scale="9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37" r:id="rId4" name="CalcularM4M5">
          <controlPr defaultSize="0" autoLine="0" autoPict="0" r:id="rId5">
            <anchor moveWithCells="1" sizeWithCells="1">
              <from>
                <xdr:col>8</xdr:col>
                <xdr:colOff>200025</xdr:colOff>
                <xdr:row>2</xdr:row>
                <xdr:rowOff>76200</xdr:rowOff>
              </from>
              <to>
                <xdr:col>9</xdr:col>
                <xdr:colOff>371475</xdr:colOff>
                <xdr:row>3</xdr:row>
                <xdr:rowOff>95250</xdr:rowOff>
              </to>
            </anchor>
          </controlPr>
        </control>
      </mc:Choice>
      <mc:Fallback>
        <control shapeId="2037" r:id="rId4" name="CalcularM4M5"/>
      </mc:Fallback>
    </mc:AlternateContent>
    <mc:AlternateContent xmlns:mc="http://schemas.openxmlformats.org/markup-compatibility/2006">
      <mc:Choice Requires="x14">
        <control shapeId="2036" r:id="rId6" name="CalcularM3M5">
          <controlPr defaultSize="0" autoLine="0" autoPict="0" r:id="rId7">
            <anchor moveWithCells="1" sizeWithCells="1">
              <from>
                <xdr:col>8</xdr:col>
                <xdr:colOff>200025</xdr:colOff>
                <xdr:row>1</xdr:row>
                <xdr:rowOff>104775</xdr:rowOff>
              </from>
              <to>
                <xdr:col>9</xdr:col>
                <xdr:colOff>371475</xdr:colOff>
                <xdr:row>2</xdr:row>
                <xdr:rowOff>66675</xdr:rowOff>
              </to>
            </anchor>
          </controlPr>
        </control>
      </mc:Choice>
      <mc:Fallback>
        <control shapeId="2036" r:id="rId6" name="CalcularM3M5"/>
      </mc:Fallback>
    </mc:AlternateContent>
    <mc:AlternateContent xmlns:mc="http://schemas.openxmlformats.org/markup-compatibility/2006">
      <mc:Choice Requires="x14">
        <control shapeId="1577" r:id="rId8" name="NoCalc2">
          <controlPr defaultSize="0" autoLine="0" autoPict="0" r:id="rId9">
            <anchor moveWithCells="1" sizeWithCells="1">
              <from>
                <xdr:col>8</xdr:col>
                <xdr:colOff>200025</xdr:colOff>
                <xdr:row>0</xdr:row>
                <xdr:rowOff>390525</xdr:rowOff>
              </from>
              <to>
                <xdr:col>10</xdr:col>
                <xdr:colOff>285750</xdr:colOff>
                <xdr:row>0</xdr:row>
                <xdr:rowOff>571500</xdr:rowOff>
              </to>
            </anchor>
          </controlPr>
        </control>
      </mc:Choice>
      <mc:Fallback>
        <control shapeId="1577" r:id="rId8" name="NoCalc2"/>
      </mc:Fallback>
    </mc:AlternateContent>
    <mc:AlternateContent xmlns:mc="http://schemas.openxmlformats.org/markup-compatibility/2006">
      <mc:Choice Requires="x14">
        <control shapeId="1554" r:id="rId10" name="CalcularM3M4">
          <controlPr defaultSize="0" autoLine="0" autoPict="0" r:id="rId11">
            <anchor moveWithCells="1" sizeWithCells="1">
              <from>
                <xdr:col>9</xdr:col>
                <xdr:colOff>428625</xdr:colOff>
                <xdr:row>2</xdr:row>
                <xdr:rowOff>76200</xdr:rowOff>
              </from>
              <to>
                <xdr:col>10</xdr:col>
                <xdr:colOff>285750</xdr:colOff>
                <xdr:row>3</xdr:row>
                <xdr:rowOff>95250</xdr:rowOff>
              </to>
            </anchor>
          </controlPr>
        </control>
      </mc:Choice>
      <mc:Fallback>
        <control shapeId="1554" r:id="rId10" name="CalcularM3M4"/>
      </mc:Fallback>
    </mc:AlternateContent>
    <mc:AlternateContent xmlns:mc="http://schemas.openxmlformats.org/markup-compatibility/2006">
      <mc:Choice Requires="x14">
        <control shapeId="1553" r:id="rId12" name="CalcularM6M4">
          <controlPr defaultSize="0" autoLine="0" autoPict="0" r:id="rId13">
            <anchor moveWithCells="1" sizeWithCells="1">
              <from>
                <xdr:col>9</xdr:col>
                <xdr:colOff>428625</xdr:colOff>
                <xdr:row>1</xdr:row>
                <xdr:rowOff>104775</xdr:rowOff>
              </from>
              <to>
                <xdr:col>10</xdr:col>
                <xdr:colOff>285750</xdr:colOff>
                <xdr:row>2</xdr:row>
                <xdr:rowOff>66675</xdr:rowOff>
              </to>
            </anchor>
          </controlPr>
        </control>
      </mc:Choice>
      <mc:Fallback>
        <control shapeId="1553" r:id="rId12" name="CalcularM6M4"/>
      </mc:Fallback>
    </mc:AlternateContent>
    <mc:AlternateContent xmlns:mc="http://schemas.openxmlformats.org/markup-compatibility/2006">
      <mc:Choice Requires="x14">
        <control shapeId="1552" r:id="rId14" name="CalcularM6M3">
          <controlPr defaultSize="0" autoLine="0" autoPict="0" r:id="rId15">
            <anchor moveWithCells="1" sizeWithCells="1">
              <from>
                <xdr:col>9</xdr:col>
                <xdr:colOff>428625</xdr:colOff>
                <xdr:row>0</xdr:row>
                <xdr:rowOff>638175</xdr:rowOff>
              </from>
              <to>
                <xdr:col>10</xdr:col>
                <xdr:colOff>285750</xdr:colOff>
                <xdr:row>1</xdr:row>
                <xdr:rowOff>85725</xdr:rowOff>
              </to>
            </anchor>
          </controlPr>
        </control>
      </mc:Choice>
      <mc:Fallback>
        <control shapeId="1552" r:id="rId14" name="CalcularM6M3"/>
      </mc:Fallback>
    </mc:AlternateContent>
    <mc:AlternateContent xmlns:mc="http://schemas.openxmlformats.org/markup-compatibility/2006">
      <mc:Choice Requires="x14">
        <control shapeId="1551" r:id="rId16" name="CalcularM6M5">
          <controlPr defaultSize="0" autoLine="0" autoPict="0" r:id="rId17">
            <anchor moveWithCells="1" sizeWithCells="1">
              <from>
                <xdr:col>8</xdr:col>
                <xdr:colOff>200025</xdr:colOff>
                <xdr:row>0</xdr:row>
                <xdr:rowOff>638175</xdr:rowOff>
              </from>
              <to>
                <xdr:col>9</xdr:col>
                <xdr:colOff>371475</xdr:colOff>
                <xdr:row>1</xdr:row>
                <xdr:rowOff>85725</xdr:rowOff>
              </to>
            </anchor>
          </controlPr>
        </control>
      </mc:Choice>
      <mc:Fallback>
        <control shapeId="1551" r:id="rId16" name="CalcularM6M5"/>
      </mc:Fallback>
    </mc:AlternateContent>
    <mc:AlternateContent xmlns:mc="http://schemas.openxmlformats.org/markup-compatibility/2006">
      <mc:Choice Requires="x14">
        <control shapeId="2035" r:id="rId18" name="CalcularM1M4">
          <controlPr defaultSize="0" autoLine="0" autoPict="0" r:id="rId19">
            <anchor moveWithCells="1" sizeWithCells="1">
              <from>
                <xdr:col>6</xdr:col>
                <xdr:colOff>257175</xdr:colOff>
                <xdr:row>1</xdr:row>
                <xdr:rowOff>114300</xdr:rowOff>
              </from>
              <to>
                <xdr:col>7</xdr:col>
                <xdr:colOff>419100</xdr:colOff>
                <xdr:row>2</xdr:row>
                <xdr:rowOff>66675</xdr:rowOff>
              </to>
            </anchor>
          </controlPr>
        </control>
      </mc:Choice>
      <mc:Fallback>
        <control shapeId="2035" r:id="rId18" name="CalcularM1M4"/>
      </mc:Fallback>
    </mc:AlternateContent>
    <mc:AlternateContent xmlns:mc="http://schemas.openxmlformats.org/markup-compatibility/2006">
      <mc:Choice Requires="x14">
        <control shapeId="2034" r:id="rId20" name="CalcularM1M3">
          <controlPr defaultSize="0" autoLine="0" autoPict="0" r:id="rId21">
            <anchor moveWithCells="1" sizeWithCells="1">
              <from>
                <xdr:col>6</xdr:col>
                <xdr:colOff>257175</xdr:colOff>
                <xdr:row>0</xdr:row>
                <xdr:rowOff>638175</xdr:rowOff>
              </from>
              <to>
                <xdr:col>7</xdr:col>
                <xdr:colOff>419100</xdr:colOff>
                <xdr:row>1</xdr:row>
                <xdr:rowOff>85725</xdr:rowOff>
              </to>
            </anchor>
          </controlPr>
        </control>
      </mc:Choice>
      <mc:Fallback>
        <control shapeId="2034" r:id="rId20" name="CalcularM1M3"/>
      </mc:Fallback>
    </mc:AlternateContent>
    <mc:AlternateContent xmlns:mc="http://schemas.openxmlformats.org/markup-compatibility/2006">
      <mc:Choice Requires="x14">
        <control shapeId="1576" r:id="rId22" name="NoCalc1">
          <controlPr defaultSize="0" autoLine="0" autoPict="0" r:id="rId23">
            <anchor moveWithCells="1" sizeWithCells="1">
              <from>
                <xdr:col>5</xdr:col>
                <xdr:colOff>276225</xdr:colOff>
                <xdr:row>0</xdr:row>
                <xdr:rowOff>390525</xdr:rowOff>
              </from>
              <to>
                <xdr:col>7</xdr:col>
                <xdr:colOff>409575</xdr:colOff>
                <xdr:row>0</xdr:row>
                <xdr:rowOff>581025</xdr:rowOff>
              </to>
            </anchor>
          </controlPr>
        </control>
      </mc:Choice>
      <mc:Fallback>
        <control shapeId="1576" r:id="rId22" name="NoCalc1"/>
      </mc:Fallback>
    </mc:AlternateContent>
    <mc:AlternateContent xmlns:mc="http://schemas.openxmlformats.org/markup-compatibility/2006">
      <mc:Choice Requires="x14">
        <control shapeId="1492" r:id="rId24" name="CalcularM4M3">
          <controlPr defaultSize="0" autoLine="0" autoPict="0" r:id="rId25">
            <anchor moveWithCells="1" sizeWithCells="1">
              <from>
                <xdr:col>6</xdr:col>
                <xdr:colOff>257175</xdr:colOff>
                <xdr:row>2</xdr:row>
                <xdr:rowOff>76200</xdr:rowOff>
              </from>
              <to>
                <xdr:col>7</xdr:col>
                <xdr:colOff>428625</xdr:colOff>
                <xdr:row>3</xdr:row>
                <xdr:rowOff>95250</xdr:rowOff>
              </to>
            </anchor>
          </controlPr>
        </control>
      </mc:Choice>
      <mc:Fallback>
        <control shapeId="1492" r:id="rId24" name="CalcularM4M3"/>
      </mc:Fallback>
    </mc:AlternateContent>
    <mc:AlternateContent xmlns:mc="http://schemas.openxmlformats.org/markup-compatibility/2006">
      <mc:Choice Requires="x14">
        <control shapeId="1439" r:id="rId26" name="CalcularM4M2">
          <controlPr defaultSize="0" autoLine="0" autoPict="0" r:id="rId27">
            <anchor moveWithCells="1" sizeWithCells="1">
              <from>
                <xdr:col>5</xdr:col>
                <xdr:colOff>276225</xdr:colOff>
                <xdr:row>2</xdr:row>
                <xdr:rowOff>76200</xdr:rowOff>
              </from>
              <to>
                <xdr:col>6</xdr:col>
                <xdr:colOff>219075</xdr:colOff>
                <xdr:row>3</xdr:row>
                <xdr:rowOff>95250</xdr:rowOff>
              </to>
            </anchor>
          </controlPr>
        </control>
      </mc:Choice>
      <mc:Fallback>
        <control shapeId="1439" r:id="rId26" name="CalcularM4M2"/>
      </mc:Fallback>
    </mc:AlternateContent>
    <mc:AlternateContent xmlns:mc="http://schemas.openxmlformats.org/markup-compatibility/2006">
      <mc:Choice Requires="x14">
        <control shapeId="1438" r:id="rId28" name="CalcularM3M2">
          <controlPr defaultSize="0" autoLine="0" autoPict="0" r:id="rId29">
            <anchor moveWithCells="1" sizeWithCells="1">
              <from>
                <xdr:col>5</xdr:col>
                <xdr:colOff>276225</xdr:colOff>
                <xdr:row>1</xdr:row>
                <xdr:rowOff>114300</xdr:rowOff>
              </from>
              <to>
                <xdr:col>6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1438" r:id="rId28" name="CalcularM3M2"/>
      </mc:Fallback>
    </mc:AlternateContent>
    <mc:AlternateContent xmlns:mc="http://schemas.openxmlformats.org/markup-compatibility/2006">
      <mc:Choice Requires="x14">
        <control shapeId="1437" r:id="rId30" name="CalcularM1M2">
          <controlPr defaultSize="0" autoLine="0" autoPict="0" r:id="rId31">
            <anchor moveWithCells="1" sizeWithCells="1">
              <from>
                <xdr:col>5</xdr:col>
                <xdr:colOff>276225</xdr:colOff>
                <xdr:row>0</xdr:row>
                <xdr:rowOff>638175</xdr:rowOff>
              </from>
              <to>
                <xdr:col>6</xdr:col>
                <xdr:colOff>219075</xdr:colOff>
                <xdr:row>1</xdr:row>
                <xdr:rowOff>95250</xdr:rowOff>
              </to>
            </anchor>
          </controlPr>
        </control>
      </mc:Choice>
      <mc:Fallback>
        <control shapeId="1437" r:id="rId30" name="CalcularM1M2"/>
      </mc:Fallback>
    </mc:AlternateContent>
    <mc:AlternateContent xmlns:mc="http://schemas.openxmlformats.org/markup-compatibility/2006">
      <mc:Choice Requires="x14">
        <control shapeId="1025" r:id="rId32" name="CalcEsfuerzos">
          <controlPr defaultSize="0" autoLine="0" autoPict="0" r:id="rId33">
            <anchor moveWithCells="1">
              <from>
                <xdr:col>4</xdr:col>
                <xdr:colOff>0</xdr:colOff>
                <xdr:row>10</xdr:row>
                <xdr:rowOff>47625</xdr:rowOff>
              </from>
              <to>
                <xdr:col>5</xdr:col>
                <xdr:colOff>9525</xdr:colOff>
                <xdr:row>12</xdr:row>
                <xdr:rowOff>9525</xdr:rowOff>
              </to>
            </anchor>
          </controlPr>
        </control>
      </mc:Choice>
      <mc:Fallback>
        <control shapeId="1025" r:id="rId32" name="CalcEsfuerz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"/>
  <sheetViews>
    <sheetView workbookViewId="0"/>
  </sheetViews>
  <sheetFormatPr baseColWidth="10" defaultColWidth="9.140625" defaultRowHeight="12.75" x14ac:dyDescent="0.2"/>
  <sheetData/>
  <phoneticPr fontId="3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B24"/>
  <sheetViews>
    <sheetView zoomScale="85" zoomScaleNormal="85" workbookViewId="0">
      <selection activeCell="C18" sqref="C18"/>
    </sheetView>
  </sheetViews>
  <sheetFormatPr baseColWidth="10" defaultColWidth="9.140625" defaultRowHeight="12.75" x14ac:dyDescent="0.2"/>
  <sheetData>
    <row r="1" spans="1:2" x14ac:dyDescent="0.2">
      <c r="A1" s="2" t="s">
        <v>1</v>
      </c>
      <c r="B1" s="5" t="s">
        <v>2</v>
      </c>
    </row>
    <row r="24" s="2" customFormat="1" x14ac:dyDescent="0.2"/>
  </sheetData>
  <phoneticPr fontId="3" type="noConversion"/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Hoja3</vt:lpstr>
      <vt:lpstr>Hoja2</vt:lpstr>
      <vt:lpstr>Hoja1!Área_de_impresión</vt:lpstr>
    </vt:vector>
  </TitlesOfParts>
  <Company>EACIM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EAC</dc:creator>
  <cp:lastModifiedBy>Ernesto Avedillo</cp:lastModifiedBy>
  <cp:lastPrinted>2013-05-23T09:50:24Z</cp:lastPrinted>
  <dcterms:created xsi:type="dcterms:W3CDTF">2011-05-17T17:36:25Z</dcterms:created>
  <dcterms:modified xsi:type="dcterms:W3CDTF">2024-10-11T14:05:45Z</dcterms:modified>
</cp:coreProperties>
</file>